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460" windowHeight="7530" tabRatio="958"/>
  </bookViews>
  <sheets>
    <sheet name="Dashboard" sheetId="1" r:id="rId1"/>
    <sheet name="DashboardDataPattern1" sheetId="10" state="veryHidden" r:id="rId2"/>
    <sheet name="DashboardData1" sheetId="15" r:id="rId3"/>
    <sheet name="DashboardData2" sheetId="16" r:id="rId4"/>
    <sheet name="DashboardDataPattern2" sheetId="11" state="veryHidden" r:id="rId5"/>
    <sheet name="District Details" sheetId="2" r:id="rId6"/>
    <sheet name="DistrictData" sheetId="17" r:id="rId7"/>
    <sheet name="DistrictDataPattern" sheetId="12" state="veryHidden" r:id="rId8"/>
    <sheet name="SF Details" sheetId="3" r:id="rId9"/>
    <sheet name="SFData" sheetId="18" r:id="rId10"/>
    <sheet name="ControlSheet" sheetId="14" r:id="rId11"/>
    <sheet name="SFDataPattern" sheetId="13" state="hidden" r:id="rId12"/>
    <sheet name="Insights - Indication Driven" sheetId="20" r:id="rId13"/>
    <sheet name="Instructions_Business Rules" sheetId="23" r:id="rId14"/>
    <sheet name="IndicationsData" sheetId="22" r:id="rId15"/>
    <sheet name="IndicationsDataPattern" sheetId="21" state="hidden" r:id="rId16"/>
  </sheets>
  <externalReferences>
    <externalReference r:id="rId17"/>
    <externalReference r:id="rId18"/>
    <externalReference r:id="rId19"/>
    <externalReference r:id="rId20"/>
    <externalReference r:id="rId21"/>
  </externalReferences>
  <definedNames>
    <definedName name="_xlnm._FilterDatabase" localSheetId="5" hidden="1">'District Details'!$B$9:$N$9</definedName>
    <definedName name="_xlnm._FilterDatabase" localSheetId="6" hidden="1">DistrictData!$A$1:$N$50</definedName>
    <definedName name="_xlnm._FilterDatabase" localSheetId="8" hidden="1">'SF Details'!$B$9:$N$9</definedName>
    <definedName name="_xlnm._FilterDatabase">Physician [1]Details!$B$10:$AC$10</definedName>
    <definedName name="Chk" localSheetId="13">[2]Datasheet!$B$4</definedName>
    <definedName name="Chk">[3]Datasheet!$B$4</definedName>
    <definedName name="jdhj" localSheetId="12">'[4]SF Details'!#REF!</definedName>
    <definedName name="jdhj">'SF Details'!#REF!</definedName>
    <definedName name="_xlnm.Print_Area" localSheetId="0">Dashboard!$B$1:$N$58</definedName>
    <definedName name="_xlnm.Print_Area" localSheetId="12">'Insights - Indication Driven'!$A$1:$AC$63</definedName>
    <definedName name="_xlnm.Print_Area">Instructions_Business [5]Rules!$B$1:$N$41</definedName>
    <definedName name="SF_detail">'SF Details'!$E$7:$E$7</definedName>
  </definedNames>
  <calcPr calcId="145621"/>
</workbook>
</file>

<file path=xl/calcChain.xml><?xml version="1.0" encoding="utf-8"?>
<calcChain xmlns="http://schemas.openxmlformats.org/spreadsheetml/2006/main">
  <c r="E54" i="14" l="1"/>
  <c r="E53" i="14"/>
  <c r="B53" i="14"/>
  <c r="B54" i="14"/>
  <c r="AB60" i="20"/>
  <c r="AB31" i="20"/>
  <c r="E49" i="14" l="1"/>
  <c r="E50" i="14"/>
  <c r="E51" i="14"/>
  <c r="E52" i="14"/>
  <c r="E48" i="14"/>
  <c r="B49" i="14"/>
  <c r="B50" i="14"/>
  <c r="B51" i="14"/>
  <c r="B52" i="14"/>
  <c r="B48" i="14"/>
  <c r="G57" i="14"/>
  <c r="F57" i="14"/>
  <c r="E62" i="20"/>
  <c r="F62" i="20"/>
  <c r="G62" i="20"/>
  <c r="H62" i="20"/>
  <c r="I62" i="20"/>
  <c r="J62" i="20"/>
  <c r="K62" i="20"/>
  <c r="L62" i="20"/>
  <c r="M62" i="20"/>
  <c r="N62" i="20"/>
  <c r="O62" i="20"/>
  <c r="P62" i="20"/>
  <c r="Q62" i="20"/>
  <c r="R62" i="20"/>
  <c r="S62" i="20"/>
  <c r="T62" i="20"/>
  <c r="U62" i="20"/>
  <c r="V62" i="20"/>
  <c r="W62" i="20"/>
  <c r="X62" i="20"/>
  <c r="Y62" i="20"/>
  <c r="Z62" i="20"/>
  <c r="AA62" i="20"/>
  <c r="E33" i="20"/>
  <c r="F33" i="20"/>
  <c r="G33" i="20"/>
  <c r="H33" i="20"/>
  <c r="I33" i="20"/>
  <c r="J33" i="20"/>
  <c r="K33" i="20"/>
  <c r="L33" i="20"/>
  <c r="M33" i="20"/>
  <c r="N33" i="20"/>
  <c r="O33" i="20"/>
  <c r="P33" i="20"/>
  <c r="Q33" i="20"/>
  <c r="R33" i="20"/>
  <c r="S33" i="20"/>
  <c r="T33" i="20"/>
  <c r="U33" i="20"/>
  <c r="V33" i="20"/>
  <c r="W33" i="20"/>
  <c r="X33" i="20"/>
  <c r="Y33" i="20"/>
  <c r="Z33" i="20"/>
  <c r="AA33" i="20"/>
  <c r="D33" i="20"/>
  <c r="D62" i="20"/>
  <c r="AB27" i="20"/>
  <c r="AB28" i="20"/>
  <c r="AB29" i="20"/>
  <c r="AB30" i="20"/>
  <c r="AB32" i="20"/>
  <c r="AB26" i="20"/>
  <c r="AB57" i="20"/>
  <c r="AB59" i="20"/>
  <c r="AB55" i="20"/>
  <c r="AB61" i="20"/>
  <c r="AB58" i="20"/>
  <c r="AB56" i="20"/>
  <c r="D4" i="14"/>
  <c r="D7" i="14"/>
  <c r="D8" i="14"/>
  <c r="D6" i="14"/>
  <c r="D3" i="14"/>
  <c r="D2" i="14"/>
  <c r="AB62" i="20" l="1"/>
  <c r="AB33" i="20"/>
</calcChain>
</file>

<file path=xl/sharedStrings.xml><?xml version="1.0" encoding="utf-8"?>
<sst xmlns="http://schemas.openxmlformats.org/spreadsheetml/2006/main" count="6583" uniqueCount="1114">
  <si>
    <t>Dec</t>
  </si>
  <si>
    <t>Nov</t>
  </si>
  <si>
    <t>Oct</t>
  </si>
  <si>
    <t>Sep</t>
  </si>
  <si>
    <t>Aug</t>
  </si>
  <si>
    <t>Jul</t>
  </si>
  <si>
    <t>Jun</t>
  </si>
  <si>
    <t>May</t>
  </si>
  <si>
    <t>Apr</t>
  </si>
  <si>
    <t>Mar</t>
  </si>
  <si>
    <t>Feb</t>
  </si>
  <si>
    <t>Jan</t>
  </si>
  <si>
    <t>2016 Transactions</t>
  </si>
  <si>
    <t>2015 Transactions</t>
  </si>
  <si>
    <t>2016 Activations</t>
  </si>
  <si>
    <t>2015 Activations</t>
  </si>
  <si>
    <t>Transactions</t>
  </si>
  <si>
    <t>Activations</t>
  </si>
  <si>
    <t>12 Days</t>
  </si>
  <si>
    <t>Northwest</t>
  </si>
  <si>
    <t>3V000</t>
  </si>
  <si>
    <t>10 Days</t>
  </si>
  <si>
    <t>Central</t>
  </si>
  <si>
    <t>3U000</t>
  </si>
  <si>
    <t>Southwest</t>
  </si>
  <si>
    <t>3T000</t>
  </si>
  <si>
    <t>11 Days</t>
  </si>
  <si>
    <t>Southeast</t>
  </si>
  <si>
    <t>3S000</t>
  </si>
  <si>
    <t>Blue Ridge</t>
  </si>
  <si>
    <t>3R000</t>
  </si>
  <si>
    <t>15 Days</t>
  </si>
  <si>
    <t>Capitol</t>
  </si>
  <si>
    <t>3Q000</t>
  </si>
  <si>
    <t>3P000</t>
  </si>
  <si>
    <t>-</t>
  </si>
  <si>
    <t>Nation</t>
  </si>
  <si>
    <t>C52W
Time to 1st Transaction</t>
  </si>
  <si>
    <t>C52W
Avgerage Copay 
Payout</t>
  </si>
  <si>
    <t>Geography</t>
  </si>
  <si>
    <t>C13W vs. P13W
% Growth 
Transactions</t>
  </si>
  <si>
    <t>C13W vs. P13W
% Growth 
Activations</t>
  </si>
  <si>
    <t>Territory</t>
  </si>
  <si>
    <t>CW vs. PW 
% Growth</t>
  </si>
  <si>
    <t>Previous
Week</t>
  </si>
  <si>
    <t>Current
Week</t>
  </si>
  <si>
    <t>C13W vs. P13W 
% Growth</t>
  </si>
  <si>
    <t>CYTD vs. PYTD 
% Growth</t>
  </si>
  <si>
    <t>PYTD</t>
  </si>
  <si>
    <t>CYTD</t>
  </si>
  <si>
    <t>Program Type</t>
  </si>
  <si>
    <t>Enbrel National Copay Dashboard</t>
  </si>
  <si>
    <t>Allentown, PA</t>
  </si>
  <si>
    <t>3PF00</t>
  </si>
  <si>
    <t>New England</t>
  </si>
  <si>
    <t>3PA00</t>
  </si>
  <si>
    <t>District Name</t>
  </si>
  <si>
    <t>Nashua, NH</t>
  </si>
  <si>
    <t>3PA03</t>
  </si>
  <si>
    <t>New Hampshire-Vermont</t>
  </si>
  <si>
    <t>3PA02</t>
  </si>
  <si>
    <t>District</t>
  </si>
  <si>
    <t>3SG00</t>
  </si>
  <si>
    <t>Atlanta, GA</t>
  </si>
  <si>
    <t>Activations Table</t>
  </si>
  <si>
    <t>Total</t>
  </si>
  <si>
    <t>RA</t>
  </si>
  <si>
    <t>AS</t>
  </si>
  <si>
    <t>JIA</t>
  </si>
  <si>
    <t>Transactions Table</t>
  </si>
  <si>
    <t>Geo name</t>
  </si>
  <si>
    <t>APEX</t>
  </si>
  <si>
    <t>PINNACLE</t>
  </si>
  <si>
    <t>SUMMIT</t>
  </si>
  <si>
    <t>Insights - Indication Driven</t>
  </si>
  <si>
    <t>All</t>
  </si>
  <si>
    <t>Instructions &amp; Business Rules</t>
  </si>
  <si>
    <t>Retail</t>
  </si>
  <si>
    <t>Debit</t>
  </si>
  <si>
    <t>DMR</t>
  </si>
  <si>
    <t>Instructions</t>
  </si>
  <si>
    <t>Business Rules</t>
  </si>
  <si>
    <t>Region</t>
  </si>
  <si>
    <t xml:space="preserve">Region </t>
  </si>
  <si>
    <t xml:space="preserve">District </t>
  </si>
  <si>
    <t>A</t>
  </si>
  <si>
    <t>B</t>
  </si>
  <si>
    <t>C</t>
  </si>
  <si>
    <t>D</t>
  </si>
  <si>
    <t>E</t>
  </si>
  <si>
    <t>(Week Ending Date)</t>
  </si>
  <si>
    <t>C13W</t>
  </si>
  <si>
    <t>P13W</t>
  </si>
  <si>
    <t>CW</t>
  </si>
  <si>
    <t>PW</t>
  </si>
  <si>
    <t>Month</t>
  </si>
  <si>
    <t>F</t>
  </si>
  <si>
    <t>G</t>
  </si>
  <si>
    <t>H</t>
  </si>
  <si>
    <t>I</t>
  </si>
  <si>
    <t>J</t>
  </si>
  <si>
    <t>K</t>
  </si>
  <si>
    <t>L</t>
  </si>
  <si>
    <t>M</t>
  </si>
  <si>
    <t>N</t>
  </si>
  <si>
    <t>Program</t>
  </si>
  <si>
    <t>Geo Name</t>
  </si>
  <si>
    <t>CYTD_vs_PYTD_Growth_Activations</t>
  </si>
  <si>
    <t>C13W_vs_P13W_Growth_Activations</t>
  </si>
  <si>
    <t>CW_vs_PW_Growth_Activations</t>
  </si>
  <si>
    <t>CYTD_vs_PYTD_Growth_Transactions</t>
  </si>
  <si>
    <t>C13W_vs_P13W_Growth_Transactions</t>
  </si>
  <si>
    <t>CW_vs_PW_Growth_Transactions</t>
  </si>
  <si>
    <t>C52W_Average_Copay_Payout</t>
  </si>
  <si>
    <t>C52W_Time_to_First_Transaction</t>
  </si>
  <si>
    <t>CYTD_Rank_Activations</t>
  </si>
  <si>
    <t>CYTD_Rank_Transactions</t>
  </si>
  <si>
    <t>(CYTD_vs_PYTD_Act_Nation_1)</t>
  </si>
  <si>
    <t>(C13W_vs_P13W_Act_Nation_1)</t>
  </si>
  <si>
    <t>(CW_vs_PW_Act_Nation_1)</t>
  </si>
  <si>
    <t>(CYTD_vs_PYTD_Tran_Nation_1)</t>
  </si>
  <si>
    <t>(C13W_vs_P13W_Tran_Nation_1)</t>
  </si>
  <si>
    <t>(CW_vs_PW_Tran_Nation_1)</t>
  </si>
  <si>
    <t>(Amount_Nation_1)</t>
  </si>
  <si>
    <t>(Time_Nation_1)</t>
  </si>
  <si>
    <t>(CYTD_vs_PYTD_Act_Nation_2)</t>
  </si>
  <si>
    <t>(C13W_vs_P13W_Act_Nation_2)</t>
  </si>
  <si>
    <t>(CW_vs_PW_Act_Nation_2)</t>
  </si>
  <si>
    <t>(CYTD_vs_PYTD_Tran_Nation_2)</t>
  </si>
  <si>
    <t>(C13W_vs_P13W_Tran_Nation_2)</t>
  </si>
  <si>
    <t>(CW_vs_PW_Tran_Nation_2)</t>
  </si>
  <si>
    <t>(Amount_Nation_2)</t>
  </si>
  <si>
    <t>(Time_Nation_2)</t>
  </si>
  <si>
    <t>(CYTD_vs_PYTD_Act_Nation_3)</t>
  </si>
  <si>
    <t>(C13W_vs_P13W_Act_Nation_3)</t>
  </si>
  <si>
    <t>(CW_vs_PW_Act_Nation_3)</t>
  </si>
  <si>
    <t>(CYTD_vs_PYTD_Tran_Nation_3)</t>
  </si>
  <si>
    <t>(C13W_vs_P13W_Tran_Nation_3)</t>
  </si>
  <si>
    <t>(CW_vs_PW_Tran_Nation_3)</t>
  </si>
  <si>
    <t>(Amount_Nation_3)</t>
  </si>
  <si>
    <t>(Time_Nation_3)</t>
  </si>
  <si>
    <t>(CYTD_vs_PYTD_Act_Nation_4)</t>
  </si>
  <si>
    <t>(C13W_vs_P13W_Act_Nation_4)</t>
  </si>
  <si>
    <t>(CW_vs_PW_Act_Nation_4)</t>
  </si>
  <si>
    <t>(CYTD_vs_PYTD_Tran_Nation_4)</t>
  </si>
  <si>
    <t>(C13W_vs_P13W_Tran_Nation_4)</t>
  </si>
  <si>
    <t>(CW_vs_PW_Tran_Nation_4)</t>
  </si>
  <si>
    <t>(Amount_Nation_4)</t>
  </si>
  <si>
    <t>(Time_Nation_4)</t>
  </si>
  <si>
    <t>(R   1)</t>
  </si>
  <si>
    <t>(Region  1)</t>
  </si>
  <si>
    <t>(CYTD_vs_PYTD_Act 1)</t>
  </si>
  <si>
    <t>(C13W_vs_P13W_Act 1)</t>
  </si>
  <si>
    <t>(CW_vs_PW_Act 1)</t>
  </si>
  <si>
    <t>(CYTD_vs_PYTD_Tran 1)</t>
  </si>
  <si>
    <t>(C13W_vs_P13W_Tran 1)</t>
  </si>
  <si>
    <t>(CW_vs_PW_Tran 1)</t>
  </si>
  <si>
    <t>(Amount  1)</t>
  </si>
  <si>
    <t>(Time   1)</t>
  </si>
  <si>
    <t>(CYTD_Rank_Act    1)</t>
  </si>
  <si>
    <t>(CYTD_Rank_Tran    1)</t>
  </si>
  <si>
    <t>(R   2)</t>
  </si>
  <si>
    <t>(Region  2)</t>
  </si>
  <si>
    <t>(CYTD_vs_PYTD_Act 2)</t>
  </si>
  <si>
    <t>(C13W_vs_P13W_Act 2)</t>
  </si>
  <si>
    <t>(CW_vs_PW_Act 2)</t>
  </si>
  <si>
    <t>(CYTD_vs_PYTD_Tran 2)</t>
  </si>
  <si>
    <t>(C13W_vs_P13W_Tran 2)</t>
  </si>
  <si>
    <t>(CW_vs_PW_Tran 2)</t>
  </si>
  <si>
    <t>(Amount  2)</t>
  </si>
  <si>
    <t>(Time   2)</t>
  </si>
  <si>
    <t>(CYTD_Rank_Act    2)</t>
  </si>
  <si>
    <t>(CYTD_Rank_Tran    2)</t>
  </si>
  <si>
    <t>(R   3)</t>
  </si>
  <si>
    <t>(Region  3)</t>
  </si>
  <si>
    <t>(CYTD_vs_PYTD_Act 3)</t>
  </si>
  <si>
    <t>(C13W_vs_P13W_Act 3)</t>
  </si>
  <si>
    <t>(CW_vs_PW_Act 3)</t>
  </si>
  <si>
    <t>(CYTD_vs_PYTD_Tran 3)</t>
  </si>
  <si>
    <t>(C13W_vs_P13W_Tran 3)</t>
  </si>
  <si>
    <t>(CW_vs_PW_Tran 3)</t>
  </si>
  <si>
    <t>(Amount  3)</t>
  </si>
  <si>
    <t>(Time   3)</t>
  </si>
  <si>
    <t>(CYTD_Rank_Act    3)</t>
  </si>
  <si>
    <t>(CYTD_Rank_Tran    3)</t>
  </si>
  <si>
    <t>(R   4)</t>
  </si>
  <si>
    <t>(Region  4)</t>
  </si>
  <si>
    <t>(CYTD_vs_PYTD_Act 4)</t>
  </si>
  <si>
    <t>(C13W_vs_P13W_Act 4)</t>
  </si>
  <si>
    <t>(CW_vs_PW_Act 4)</t>
  </si>
  <si>
    <t>(CYTD_vs_PYTD_Tran 4)</t>
  </si>
  <si>
    <t>(C13W_vs_P13W_Tran 4)</t>
  </si>
  <si>
    <t>(CW_vs_PW_Tran 4)</t>
  </si>
  <si>
    <t>(Amount  4)</t>
  </si>
  <si>
    <t>(Time   4)</t>
  </si>
  <si>
    <t>(CYTD_Rank_Act    4)</t>
  </si>
  <si>
    <t>(CYTD_Rank_Tran    4)</t>
  </si>
  <si>
    <t>(R   5)</t>
  </si>
  <si>
    <t>(Region  5)</t>
  </si>
  <si>
    <t>(CYTD_vs_PYTD_Act 5)</t>
  </si>
  <si>
    <t>(C13W_vs_P13W_Act 5)</t>
  </si>
  <si>
    <t>(CW_vs_PW_Act 5)</t>
  </si>
  <si>
    <t>(CYTD_vs_PYTD_Tran 5)</t>
  </si>
  <si>
    <t>(C13W_vs_P13W_Tran 5)</t>
  </si>
  <si>
    <t>(CW_vs_PW_Tran 5)</t>
  </si>
  <si>
    <t>(Amount  5)</t>
  </si>
  <si>
    <t>(Time   5)</t>
  </si>
  <si>
    <t>(CYTD_Rank_Act    5)</t>
  </si>
  <si>
    <t>(CYTD_Rank_Tran    5)</t>
  </si>
  <si>
    <t>(R   6)</t>
  </si>
  <si>
    <t>(Region  6)</t>
  </si>
  <si>
    <t>(CYTD_vs_PYTD_Act 6)</t>
  </si>
  <si>
    <t>(C13W_vs_P13W_Act 6)</t>
  </si>
  <si>
    <t>(CW_vs_PW_Act 6)</t>
  </si>
  <si>
    <t>(CYTD_vs_PYTD_Tran 6)</t>
  </si>
  <si>
    <t>(C13W_vs_P13W_Tran 6)</t>
  </si>
  <si>
    <t>(CW_vs_PW_Tran 6)</t>
  </si>
  <si>
    <t>(Amount  6)</t>
  </si>
  <si>
    <t>(Time   6)</t>
  </si>
  <si>
    <t>(CYTD_Rank_Act    6)</t>
  </si>
  <si>
    <t>(CYTD_Rank_Tran    6)</t>
  </si>
  <si>
    <t>(R   7)</t>
  </si>
  <si>
    <t>(Region  7)</t>
  </si>
  <si>
    <t>(CYTD_vs_PYTD_Act 7)</t>
  </si>
  <si>
    <t>(C13W_vs_P13W_Act 7)</t>
  </si>
  <si>
    <t>(CW_vs_PW_Act 7)</t>
  </si>
  <si>
    <t>(CYTD_vs_PYTD_Tran 7)</t>
  </si>
  <si>
    <t>(C13W_vs_P13W_Tran 7)</t>
  </si>
  <si>
    <t>(CW_vs_PW_Tran 7)</t>
  </si>
  <si>
    <t>(Amount  7)</t>
  </si>
  <si>
    <t>(Time   7)</t>
  </si>
  <si>
    <t>(CYTD_Rank_Act    7)</t>
  </si>
  <si>
    <t>(CYTD_Rank_Tran    7)</t>
  </si>
  <si>
    <t>Unknown</t>
  </si>
  <si>
    <t>(CYTD_vs_PYTD_Act     8)</t>
  </si>
  <si>
    <t>(C13W_vs_P13W_Act     8)</t>
  </si>
  <si>
    <t>(CW_vs_PW_Act     8)</t>
  </si>
  <si>
    <t>(CYTD_vs_PYTD_Tran      8)</t>
  </si>
  <si>
    <t>(C13W_vs_P13W_Tran      8)</t>
  </si>
  <si>
    <t>(CW_vs_PW_Tran      8)</t>
  </si>
  <si>
    <t>(Amount       8)</t>
  </si>
  <si>
    <t>(Time       8)</t>
  </si>
  <si>
    <t>(CYTD_Rank_Act       8)</t>
  </si>
  <si>
    <t>(CYTD_Rank_Tran       8)</t>
  </si>
  <si>
    <t>(CYTD_vs_PYTD_Act     9)</t>
  </si>
  <si>
    <t>(C13W_vs_P13W_Act     9)</t>
  </si>
  <si>
    <t>(CW_vs_PW_Act     9)</t>
  </si>
  <si>
    <t>(CYTD_vs_PYTD_Tran      9)</t>
  </si>
  <si>
    <t>(C13W_vs_P13W_Tran      9)</t>
  </si>
  <si>
    <t>(CW_vs_PW_Tran      9)</t>
  </si>
  <si>
    <t>(Amount       9)</t>
  </si>
  <si>
    <t>(Time       9)</t>
  </si>
  <si>
    <t>(CYTD_Rank_Act       9)</t>
  </si>
  <si>
    <t>(CYTD_Rank_Tran       9)</t>
  </si>
  <si>
    <t>(CYTD_vs_PYTD_Act     10)</t>
  </si>
  <si>
    <t>(C13W_vs_P13W_Act     10)</t>
  </si>
  <si>
    <t>(CW_vs_PW_Act     10)</t>
  </si>
  <si>
    <t>(CYTD_vs_PYTD_Tran      10)</t>
  </si>
  <si>
    <t>(C13W_vs_P13W_Tran      10)</t>
  </si>
  <si>
    <t>(CW_vs_PW_Tran      10)</t>
  </si>
  <si>
    <t>(Amount       10)</t>
  </si>
  <si>
    <t>(Time       10)</t>
  </si>
  <si>
    <t>(CYTD_Rank_Act       10)</t>
  </si>
  <si>
    <t>(CYTD_Rank_Tran       10)</t>
  </si>
  <si>
    <t>(CYTD_vs_PYTD_Act     11)</t>
  </si>
  <si>
    <t>(C13W_vs_P13W_Act     11)</t>
  </si>
  <si>
    <t>(CW_vs_PW_Act     11)</t>
  </si>
  <si>
    <t>(CYTD_vs_PYTD_Tran      11)</t>
  </si>
  <si>
    <t>(C13W_vs_P13W_Tran      11)</t>
  </si>
  <si>
    <t>(CW_vs_PW_Tran      11)</t>
  </si>
  <si>
    <t>(Amount       11)</t>
  </si>
  <si>
    <t>(Time       11)</t>
  </si>
  <si>
    <t>(CYTD_Rank_Act       11)</t>
  </si>
  <si>
    <t>(CYTD_Rank_Tran       11)</t>
  </si>
  <si>
    <t>(CYTD_vs_PYTD_Act     12)</t>
  </si>
  <si>
    <t>(C13W_vs_P13W_Act     12)</t>
  </si>
  <si>
    <t>(CW_vs_PW_Act     12)</t>
  </si>
  <si>
    <t>(CYTD_vs_PYTD_Tran      12)</t>
  </si>
  <si>
    <t>(C13W_vs_P13W_Tran      12)</t>
  </si>
  <si>
    <t>(CW_vs_PW_Tran      12)</t>
  </si>
  <si>
    <t>(Amount       12)</t>
  </si>
  <si>
    <t>(Time       12)</t>
  </si>
  <si>
    <t>(CYTD_Rank_Act       12)</t>
  </si>
  <si>
    <t>(CYTD_Rank_Tran       12)</t>
  </si>
  <si>
    <t>(CYTD_vs_PYTD_Act     13)</t>
  </si>
  <si>
    <t>(C13W_vs_P13W_Act     13)</t>
  </si>
  <si>
    <t>(CW_vs_PW_Act     13)</t>
  </si>
  <si>
    <t>(CYTD_vs_PYTD_Tran      13)</t>
  </si>
  <si>
    <t>(C13W_vs_P13W_Tran      13)</t>
  </si>
  <si>
    <t>(CW_vs_PW_Tran      13)</t>
  </si>
  <si>
    <t>(Amount       13)</t>
  </si>
  <si>
    <t>(Time       13)</t>
  </si>
  <si>
    <t>(CYTD_Rank_Act       13)</t>
  </si>
  <si>
    <t>(CYTD_Rank_Tran       13)</t>
  </si>
  <si>
    <t>(CYTD_vs_PYTD_Act     14)</t>
  </si>
  <si>
    <t>(C13W_vs_P13W_Act     14)</t>
  </si>
  <si>
    <t>(CW_vs_PW_Act     14)</t>
  </si>
  <si>
    <t>(CYTD_vs_PYTD_Tran      14)</t>
  </si>
  <si>
    <t>(C13W_vs_P13W_Tran      14)</t>
  </si>
  <si>
    <t>(CW_vs_PW_Tran      14)</t>
  </si>
  <si>
    <t>(Amount       14)</t>
  </si>
  <si>
    <t>(Time       14)</t>
  </si>
  <si>
    <t>(CYTD_Rank_Act       14)</t>
  </si>
  <si>
    <t>(CYTD_Rank_Tran       14)</t>
  </si>
  <si>
    <t>(CYTD_vs_PYTD_Act     15)</t>
  </si>
  <si>
    <t>(C13W_vs_P13W_Act     15)</t>
  </si>
  <si>
    <t>(CW_vs_PW_Act     15)</t>
  </si>
  <si>
    <t>(CYTD_vs_PYTD_Tran      15)</t>
  </si>
  <si>
    <t>(C13W_vs_P13W_Tran      15)</t>
  </si>
  <si>
    <t>(CW_vs_PW_Tran      15)</t>
  </si>
  <si>
    <t>(Amount       15)</t>
  </si>
  <si>
    <t>(Time       15)</t>
  </si>
  <si>
    <t>(CYTD_Rank_Act       15)</t>
  </si>
  <si>
    <t>(CYTD_Rank_Tran       15)</t>
  </si>
  <si>
    <t>(CYTD_vs_PYTD_Act     16)</t>
  </si>
  <si>
    <t>(C13W_vs_P13W_Act     16)</t>
  </si>
  <si>
    <t>(CW_vs_PW_Act     16)</t>
  </si>
  <si>
    <t>(CYTD_vs_PYTD_Tran      16)</t>
  </si>
  <si>
    <t>(C13W_vs_P13W_Tran      16)</t>
  </si>
  <si>
    <t>(CW_vs_PW_Tran      16)</t>
  </si>
  <si>
    <t>(Amount       16)</t>
  </si>
  <si>
    <t>(Time       16)</t>
  </si>
  <si>
    <t>(CYTD_Rank_Act       16)</t>
  </si>
  <si>
    <t>(CYTD_Rank_Tran       16)</t>
  </si>
  <si>
    <t>(CYTD_vs_PYTD_Act     17)</t>
  </si>
  <si>
    <t>(C13W_vs_P13W_Act     17)</t>
  </si>
  <si>
    <t>(CW_vs_PW_Act     17)</t>
  </si>
  <si>
    <t>(CYTD_vs_PYTD_Tran      17)</t>
  </si>
  <si>
    <t>(C13W_vs_P13W_Tran      17)</t>
  </si>
  <si>
    <t>(CW_vs_PW_Tran      17)</t>
  </si>
  <si>
    <t>(Amount       17)</t>
  </si>
  <si>
    <t>(Time       17)</t>
  </si>
  <si>
    <t>(CYTD_Rank_Act       17)</t>
  </si>
  <si>
    <t>(CYTD_Rank_Tran       17)</t>
  </si>
  <si>
    <t>(CYTD_vs_PYTD_Act     18)</t>
  </si>
  <si>
    <t>(C13W_vs_P13W_Act     18)</t>
  </si>
  <si>
    <t>(CW_vs_PW_Act     18)</t>
  </si>
  <si>
    <t>(CYTD_vs_PYTD_Tran      18)</t>
  </si>
  <si>
    <t>(C13W_vs_P13W_Tran      18)</t>
  </si>
  <si>
    <t>(CW_vs_PW_Tran      18)</t>
  </si>
  <si>
    <t>(Amount       18)</t>
  </si>
  <si>
    <t>(Time       18)</t>
  </si>
  <si>
    <t>(CYTD_Rank_Act       18)</t>
  </si>
  <si>
    <t>(CYTD_Rank_Tran       18)</t>
  </si>
  <si>
    <t>(CYTD_vs_PYTD_Act     19)</t>
  </si>
  <si>
    <t>(C13W_vs_P13W_Act     19)</t>
  </si>
  <si>
    <t>(CW_vs_PW_Act     19)</t>
  </si>
  <si>
    <t>(CYTD_vs_PYTD_Tran      19)</t>
  </si>
  <si>
    <t>(C13W_vs_P13W_Tran      19)</t>
  </si>
  <si>
    <t>(CW_vs_PW_Tran      19)</t>
  </si>
  <si>
    <t>(Amount       19)</t>
  </si>
  <si>
    <t>(Time       19)</t>
  </si>
  <si>
    <t>(CYTD_Rank_Act       19)</t>
  </si>
  <si>
    <t>(CYTD_Rank_Tran       19)</t>
  </si>
  <si>
    <t>(CYTD_vs_PYTD_Act     20)</t>
  </si>
  <si>
    <t>(C13W_vs_P13W_Act     20)</t>
  </si>
  <si>
    <t>(CW_vs_PW_Act     20)</t>
  </si>
  <si>
    <t>(CYTD_vs_PYTD_Tran      20)</t>
  </si>
  <si>
    <t>(C13W_vs_P13W_Tran      20)</t>
  </si>
  <si>
    <t>(CW_vs_PW_Tran      20)</t>
  </si>
  <si>
    <t>(Amount       20)</t>
  </si>
  <si>
    <t>(Time       20)</t>
  </si>
  <si>
    <t>(CYTD_Rank_Act       20)</t>
  </si>
  <si>
    <t>(CYTD_Rank_Tran       20)</t>
  </si>
  <si>
    <t>(CYTD_vs_PYTD_Act     21)</t>
  </si>
  <si>
    <t>(C13W_vs_P13W_Act     21)</t>
  </si>
  <si>
    <t>(CW_vs_PW_Act     21)</t>
  </si>
  <si>
    <t>(CYTD_vs_PYTD_Tran      21)</t>
  </si>
  <si>
    <t>(C13W_vs_P13W_Tran      21)</t>
  </si>
  <si>
    <t>(CW_vs_PW_Tran      21)</t>
  </si>
  <si>
    <t>(Amount       21)</t>
  </si>
  <si>
    <t>(Time       21)</t>
  </si>
  <si>
    <t>(CYTD_Rank_Act       21)</t>
  </si>
  <si>
    <t>(CYTD_Rank_Tran       21)</t>
  </si>
  <si>
    <t>(CYTD_vs_PYTD_Act     22)</t>
  </si>
  <si>
    <t>(C13W_vs_P13W_Act     22)</t>
  </si>
  <si>
    <t>(CW_vs_PW_Act     22)</t>
  </si>
  <si>
    <t>(CYTD_vs_PYTD_Tran     22)</t>
  </si>
  <si>
    <t>(C13W_vs_P13W_Tran     22)</t>
  </si>
  <si>
    <t>(CW_vs_PW_Tran     22)</t>
  </si>
  <si>
    <t>(Amount       22)</t>
  </si>
  <si>
    <t>(Time       22)</t>
  </si>
  <si>
    <t>(CYTD_Rank_Act       22)</t>
  </si>
  <si>
    <t>(CYTD_Rank_Tran       22)</t>
  </si>
  <si>
    <t>(CYTD_vs_PYTD_Act     23)</t>
  </si>
  <si>
    <t>(C13W_vs_P13W_Act     23)</t>
  </si>
  <si>
    <t>(CW_vs_PW_Act     23)</t>
  </si>
  <si>
    <t>(CYTD_vs_PYTD_Tran     23)</t>
  </si>
  <si>
    <t>(C13W_vs_P13W_Tran     23)</t>
  </si>
  <si>
    <t>(CW_vs_PW_Tran     23)</t>
  </si>
  <si>
    <t>(Amount       23)</t>
  </si>
  <si>
    <t>(Time       23)</t>
  </si>
  <si>
    <t>(CYTD_Rank_Act       23)</t>
  </si>
  <si>
    <t>(CYTD_Rank_Tran       23)</t>
  </si>
  <si>
    <t>(CYTD_vs_PYTD_Act     24)</t>
  </si>
  <si>
    <t>(C13W_vs_P13W_Act     24)</t>
  </si>
  <si>
    <t>(CW_vs_PW_Act     24)</t>
  </si>
  <si>
    <t>(CYTD_vs_PYTD_Tran     24)</t>
  </si>
  <si>
    <t>(C13W_vs_P13W_Tran     24)</t>
  </si>
  <si>
    <t>(CW_vs_PW_Tran     24)</t>
  </si>
  <si>
    <t>(Amount       24)</t>
  </si>
  <si>
    <t>(Time       24)</t>
  </si>
  <si>
    <t>(CYTD_Rank_Act       24)</t>
  </si>
  <si>
    <t>(CYTD_Rank_Tran       24)</t>
  </si>
  <si>
    <t>(CYTD_vs_PYTD_Act     25)</t>
  </si>
  <si>
    <t>(C13W_vs_P13W_Act     25)</t>
  </si>
  <si>
    <t>(CW_vs_PW_Act     25)</t>
  </si>
  <si>
    <t>(CYTD_vs_PYTD_Tran     25)</t>
  </si>
  <si>
    <t>(C13W_vs_P13W_Tran     25)</t>
  </si>
  <si>
    <t>(CW_vs_PW_Tran     25)</t>
  </si>
  <si>
    <t>(Amount       25)</t>
  </si>
  <si>
    <t>(Time       25)</t>
  </si>
  <si>
    <t>(CYTD_Rank_Act       25)</t>
  </si>
  <si>
    <t>(CYTD_Rank_Tran       25)</t>
  </si>
  <si>
    <t>(CYTD_vs_PYTD_Act     26)</t>
  </si>
  <si>
    <t>(C13W_vs_P13W_Act     26)</t>
  </si>
  <si>
    <t>(CW_vs_PW_Act     26)</t>
  </si>
  <si>
    <t>(CYTD_vs_PYTD_Tran     26)</t>
  </si>
  <si>
    <t>(C13W_vs_P13W_Tran     26)</t>
  </si>
  <si>
    <t>(CW_vs_PW_Tran     26)</t>
  </si>
  <si>
    <t>(Amount       26)</t>
  </si>
  <si>
    <t>(Time       26)</t>
  </si>
  <si>
    <t>(CYTD_Rank_Act       26)</t>
  </si>
  <si>
    <t>(CYTD_Rank_Tran       26)</t>
  </si>
  <si>
    <t>(CYTD_vs_PYTD_Act     27)</t>
  </si>
  <si>
    <t>(C13W_vs_P13W_Act     27)</t>
  </si>
  <si>
    <t>(CW_vs_PW_Act     27)</t>
  </si>
  <si>
    <t>(CYTD_vs_PYTD_Tran     27)</t>
  </si>
  <si>
    <t>(C13W_vs_P13W_Tran     27)</t>
  </si>
  <si>
    <t>(CW_vs_PW_Tran     27)</t>
  </si>
  <si>
    <t>(Amount       27)</t>
  </si>
  <si>
    <t>(Time       27)</t>
  </si>
  <si>
    <t>(CYTD_Rank_Act       27)</t>
  </si>
  <si>
    <t>(CYTD_Rank_Tran       27)</t>
  </si>
  <si>
    <t>(CYTD_vs_PYTD_Act     28)</t>
  </si>
  <si>
    <t>(C13W_vs_P13W_Act     28)</t>
  </si>
  <si>
    <t>(CW_vs_PW_Act     28)</t>
  </si>
  <si>
    <t>(CYTD_vs_PYTD_Tran     28)</t>
  </si>
  <si>
    <t>(C13W_vs_P13W_Tran     28)</t>
  </si>
  <si>
    <t>(CW_vs_PW_Tran     28)</t>
  </si>
  <si>
    <t>(Amount       28)</t>
  </si>
  <si>
    <t>(Time       28)</t>
  </si>
  <si>
    <t>(CYTD_Rank_Act       28)</t>
  </si>
  <si>
    <t>(CYTD_Rank_Tran       28)</t>
  </si>
  <si>
    <t>(Time   8)</t>
  </si>
  <si>
    <t>(CYTD_vs_PYTD_Act Unknown)</t>
  </si>
  <si>
    <t>(C13W_vs_P13W_Act Unknown)</t>
  </si>
  <si>
    <t>(CW_vs_PW_Act Unknown)</t>
  </si>
  <si>
    <t>(CYTD_vs_PYTD_Tran Unknown)</t>
  </si>
  <si>
    <t>(C13W_vs_P13W_Tran Unknown)</t>
  </si>
  <si>
    <t>(CW_vs_PW_Tran Unknown)</t>
  </si>
  <si>
    <t>(Amount  Unknown)</t>
  </si>
  <si>
    <t>(Time   Unknown)</t>
  </si>
  <si>
    <t>(CYTD_Rank_Act    Unknown)</t>
  </si>
  <si>
    <t>(CYTD_Rank_Tran    Unknown)</t>
  </si>
  <si>
    <t>O</t>
  </si>
  <si>
    <t>Territory_Name</t>
  </si>
  <si>
    <t>Sales_Force_Name</t>
  </si>
  <si>
    <t>CYTD_vs_PYDT_Growth_Activations</t>
  </si>
  <si>
    <t>CYTD_vs_PYDT_Growth_Transactions</t>
  </si>
  <si>
    <t>(D 1)</t>
  </si>
  <si>
    <t>(T 1)</t>
  </si>
  <si>
    <t>(TName 1)</t>
  </si>
  <si>
    <t>(CYTD Rank Act  1)</t>
  </si>
  <si>
    <t>(CYTD Rank Tran  1)</t>
  </si>
  <si>
    <t>(CYTD_vs_PYTD_Growth_Act   1)</t>
  </si>
  <si>
    <t>(C13W_vs_P13W_Growth_Act   1)</t>
  </si>
  <si>
    <t>(CW_vs_PW_Growth_Act   1)</t>
  </si>
  <si>
    <t>(CYTD_vs_PYTD_Growth_Tran   1)</t>
  </si>
  <si>
    <t>(C13W_vs_P13W_Growth_Tran   1)</t>
  </si>
  <si>
    <t>(CW_vs_PW_Growth_Tran   1)</t>
  </si>
  <si>
    <t>(Amount   1)</t>
  </si>
  <si>
    <t>(T 2)</t>
  </si>
  <si>
    <t>(TName 2)</t>
  </si>
  <si>
    <t>(CYTD Rank Act  2)</t>
  </si>
  <si>
    <t>(CYTD Rank Tran  2)</t>
  </si>
  <si>
    <t>(CYTD_vs_PYTD_Growth_Act   2)</t>
  </si>
  <si>
    <t>(C13W_vs_P13W_Growth_Act   2)</t>
  </si>
  <si>
    <t>(CW_vs_PW_Growth_Act   2)</t>
  </si>
  <si>
    <t>(CYTD_vs_PYTD_Growth_Tran   2)</t>
  </si>
  <si>
    <t>(C13W_vs_P13W_Growth_Tran   2)</t>
  </si>
  <si>
    <t>(CW_vs_PW_Growth_Tran   2)</t>
  </si>
  <si>
    <t>(Amount   2)</t>
  </si>
  <si>
    <t>(T 3)</t>
  </si>
  <si>
    <t>(TName 3)</t>
  </si>
  <si>
    <t>(CYTD Rank Act  3)</t>
  </si>
  <si>
    <t>(CYTD Rank Tran  3)</t>
  </si>
  <si>
    <t>(CYTD_vs_PYTD_Growth_Act   3)</t>
  </si>
  <si>
    <t>(C13W_vs_P13W_Growth_Act   3)</t>
  </si>
  <si>
    <t>(CW_vs_PW_Growth_Act   3)</t>
  </si>
  <si>
    <t>(CYTD_vs_PYTD_Growth_Tran   3)</t>
  </si>
  <si>
    <t>(C13W_vs_P13W_Growth_Tran   3)</t>
  </si>
  <si>
    <t>(CW_vs_PW_Growth_Tran   3)</t>
  </si>
  <si>
    <t>(Amount   3)</t>
  </si>
  <si>
    <t>(T 4)</t>
  </si>
  <si>
    <t>(TName 4)</t>
  </si>
  <si>
    <t>(CYTD Rank Act  4)</t>
  </si>
  <si>
    <t>(CYTD Rank Tran  4)</t>
  </si>
  <si>
    <t>(CYTD_vs_PYTD_Growth_Act   4)</t>
  </si>
  <si>
    <t>(C13W_vs_P13W_Growth_Act   4)</t>
  </si>
  <si>
    <t>(CW_vs_PW_Growth_Act   4)</t>
  </si>
  <si>
    <t>(CYTD_vs_PYTD_Growth_Tran   4)</t>
  </si>
  <si>
    <t>(C13W_vs_P13W_Growth_Tran   4)</t>
  </si>
  <si>
    <t>(CW_vs_PW_Growth_Tran   4)</t>
  </si>
  <si>
    <t>(Amount   4)</t>
  </si>
  <si>
    <t>(T 5)</t>
  </si>
  <si>
    <t>(TName 5)</t>
  </si>
  <si>
    <t>(CYTD Rank Act  5)</t>
  </si>
  <si>
    <t>(CYTD Rank Tran  5)</t>
  </si>
  <si>
    <t>(CYTD_vs_PYTD_Growth_Act   5)</t>
  </si>
  <si>
    <t>(C13W_vs_P13W_Growth_Act   5)</t>
  </si>
  <si>
    <t>(CW_vs_PW_Growth_Act   5)</t>
  </si>
  <si>
    <t>(CYTD_vs_PYTD_Growth_Tran   5)</t>
  </si>
  <si>
    <t>(C13W_vs_P13W_Growth_Tran   5)</t>
  </si>
  <si>
    <t>(CW_vs_PW_Growth_Tran   5)</t>
  </si>
  <si>
    <t>(Amount   5)</t>
  </si>
  <si>
    <t>(T 6)</t>
  </si>
  <si>
    <t>(TName 6)</t>
  </si>
  <si>
    <t>(CYTD Rank Act  6)</t>
  </si>
  <si>
    <t>(CYTD Rank Tran  6)</t>
  </si>
  <si>
    <t>(CYTD_vs_PYTD_Growth_Act   6)</t>
  </si>
  <si>
    <t>(C13W_vs_P13W_Growth_Act   6)</t>
  </si>
  <si>
    <t>(CW_vs_PW_Growth_Act   6)</t>
  </si>
  <si>
    <t>(CYTD_vs_PYTD_Growth_Tran   6)</t>
  </si>
  <si>
    <t>(C13W_vs_P13W_Growth_Tran   6)</t>
  </si>
  <si>
    <t>(CW_vs_PW_Growth_Tran   6)</t>
  </si>
  <si>
    <t>(Amount   6)</t>
  </si>
  <si>
    <t>(T 7)</t>
  </si>
  <si>
    <t>(TName 7)</t>
  </si>
  <si>
    <t>(CYTD Rank Act  7)</t>
  </si>
  <si>
    <t>(CYTD Rank Tran  7)</t>
  </si>
  <si>
    <t>(CYTD_vs_PYTD_Growth_Act   7)</t>
  </si>
  <si>
    <t>(C13W_vs_P13W_Growth_Act   7)</t>
  </si>
  <si>
    <t>(CW_vs_PW_Growth_Act   7)</t>
  </si>
  <si>
    <t>(CYTD_vs_PYTD_Growth_Tran   7)</t>
  </si>
  <si>
    <t>(C13W_vs_P13W_Growth_Tran   7)</t>
  </si>
  <si>
    <t>(CW_vs_PW_Growth_Tran   7)</t>
  </si>
  <si>
    <t>(Amount   7)</t>
  </si>
  <si>
    <t>(D 2)</t>
  </si>
  <si>
    <t>(T 8)</t>
  </si>
  <si>
    <t>(TName 8)</t>
  </si>
  <si>
    <t>(CYTD Rank Act  8)</t>
  </si>
  <si>
    <t>(CYTD Rank Tran  8)</t>
  </si>
  <si>
    <t>(CYTD_vs_PYTD_Growth_Act   8)</t>
  </si>
  <si>
    <t>(C13W_vs_P13W_Growth_Act   8)</t>
  </si>
  <si>
    <t>(CW_vs_PW_Growth_Act   8)</t>
  </si>
  <si>
    <t>(CYTD_vs_PYTD_Growth_Tran   8)</t>
  </si>
  <si>
    <t>(C13W_vs_P13W_Growth_Tran   8)</t>
  </si>
  <si>
    <t>(CW_vs_PW_Growth_Tran   8)</t>
  </si>
  <si>
    <t>(Amount   8)</t>
  </si>
  <si>
    <t>(T 9)</t>
  </si>
  <si>
    <t>(TName 9)</t>
  </si>
  <si>
    <t>(CYTD Rank Act  9)</t>
  </si>
  <si>
    <t>(CYTD Rank Tran  9)</t>
  </si>
  <si>
    <t>(CYTD_vs_PYTD_Growth_Act   9)</t>
  </si>
  <si>
    <t>(C13W_vs_P13W_Growth_Act   9)</t>
  </si>
  <si>
    <t>(CW_vs_PW_Growth_Act   9)</t>
  </si>
  <si>
    <t>(CYTD_vs_PYTD_Growth_Tran   9)</t>
  </si>
  <si>
    <t>(C13W_vs_P13W_Growth_Tran   9)</t>
  </si>
  <si>
    <t>(CW_vs_PW_Growth_Tran   9)</t>
  </si>
  <si>
    <t>(Amount   9)</t>
  </si>
  <si>
    <t>(Time   9)</t>
  </si>
  <si>
    <t>(T 10)</t>
  </si>
  <si>
    <t>(TName 10)</t>
  </si>
  <si>
    <t>(CYTD Rank Act  10)</t>
  </si>
  <si>
    <t>(CYTD Rank Tran  10)</t>
  </si>
  <si>
    <t>(CYTD_vs_PYTD_Growth_Act   10)</t>
  </si>
  <si>
    <t>(C13W_vs_P13W_Growth_Act   10)</t>
  </si>
  <si>
    <t>(CW_vs_PW_Growth_Act   10)</t>
  </si>
  <si>
    <t>(CYTD_vs_PYTD_Growth_Tran   10)</t>
  </si>
  <si>
    <t>(C13W_vs_P13W_Growth_Tran   10)</t>
  </si>
  <si>
    <t>(CW_vs_PW_Growth_Tran   10)</t>
  </si>
  <si>
    <t>(Amount   10)</t>
  </si>
  <si>
    <t>(Time   10)</t>
  </si>
  <si>
    <t>(T 11)</t>
  </si>
  <si>
    <t>(TName 11)</t>
  </si>
  <si>
    <t>(CYTD Rank Act  11)</t>
  </si>
  <si>
    <t>(CYTD Rank Tran  11)</t>
  </si>
  <si>
    <t>(CYTD_vs_PYTD_Growth_Act   11)</t>
  </si>
  <si>
    <t>(C13W_vs_P13W_Growth_Act   11)</t>
  </si>
  <si>
    <t>(CW_vs_PW_Growth_Act   11)</t>
  </si>
  <si>
    <t>(CYTD_vs_PYTD_Growth_Tran   11)</t>
  </si>
  <si>
    <t>(C13W_vs_P13W_Growth_Tran   11)</t>
  </si>
  <si>
    <t>(CW_vs_PW_Growth_Tran   11)</t>
  </si>
  <si>
    <t>(Amount   11)</t>
  </si>
  <si>
    <t>(Time   11)</t>
  </si>
  <si>
    <t>(T 12)</t>
  </si>
  <si>
    <t>(TName 12)</t>
  </si>
  <si>
    <t>(CYTD Rank Act  12)</t>
  </si>
  <si>
    <t>(CYTD Rank Tran  12)</t>
  </si>
  <si>
    <t>(CYTD_vs_PYTD_Growth_Act   12)</t>
  </si>
  <si>
    <t>(C13W_vs_P13W_Growth_Act   12)</t>
  </si>
  <si>
    <t>(CW_vs_PW_Growth_Act   12)</t>
  </si>
  <si>
    <t>(CYTD_vs_PYTD_Growth_Tran   12)</t>
  </si>
  <si>
    <t>(C13W_vs_P13W_Growth_Tran   12)</t>
  </si>
  <si>
    <t>(CW_vs_PW_Growth_Tran   12)</t>
  </si>
  <si>
    <t>(Amount   12)</t>
  </si>
  <si>
    <t>(Time   12)</t>
  </si>
  <si>
    <t>(D 3)</t>
  </si>
  <si>
    <t>(T 13)</t>
  </si>
  <si>
    <t>(TName 13)</t>
  </si>
  <si>
    <t>(CYTD Rank Act  13)</t>
  </si>
  <si>
    <t>(CYTD Rank Tran  13)</t>
  </si>
  <si>
    <t>(CYTD_vs_PYTD_Growth_Act   13)</t>
  </si>
  <si>
    <t>(C13W_vs_P13W_Growth_Act   13)</t>
  </si>
  <si>
    <t>(CW_vs_PW_Growth_Act   13)</t>
  </si>
  <si>
    <t>(CYTD_vs_PYTD_Growth_Tran   13)</t>
  </si>
  <si>
    <t>(C13W_vs_P13W_Growth_Tran   13)</t>
  </si>
  <si>
    <t>(CW_vs_PW_Growth_Tran   13)</t>
  </si>
  <si>
    <t>(Amount   13)</t>
  </si>
  <si>
    <t>(Time   13)</t>
  </si>
  <si>
    <t>(T 14)</t>
  </si>
  <si>
    <t>(TName 14)</t>
  </si>
  <si>
    <t>(CYTD Rank Act  14)</t>
  </si>
  <si>
    <t>(CYTD Rank Tran  14)</t>
  </si>
  <si>
    <t>(CYTD_vs_PYTD_Growth_Act   14)</t>
  </si>
  <si>
    <t>(C13W_vs_P13W_Growth_Act   14)</t>
  </si>
  <si>
    <t>(CW_vs_PW_Growth_Act   14)</t>
  </si>
  <si>
    <t>(CYTD_vs_PYTD_Growth_Tran   14)</t>
  </si>
  <si>
    <t>(C13W_vs_P13W_Growth_Tran   14)</t>
  </si>
  <si>
    <t>(CW_vs_PW_Growth_Tran   14)</t>
  </si>
  <si>
    <t>(Amount   14)</t>
  </si>
  <si>
    <t>(Time   14)</t>
  </si>
  <si>
    <t>(T 15)</t>
  </si>
  <si>
    <t>(TName 15)</t>
  </si>
  <si>
    <t>(CYTD Rank Act  15)</t>
  </si>
  <si>
    <t>(CYTD Rank Tran  15)</t>
  </si>
  <si>
    <t>(CYTD_vs_PYTD_Growth_Act   15)</t>
  </si>
  <si>
    <t>(C13W_vs_P13W_Growth_Act   15)</t>
  </si>
  <si>
    <t>(CW_vs_PW_Growth_Act   15)</t>
  </si>
  <si>
    <t>(CYTD_vs_PYTD_Growth_Tran   15)</t>
  </si>
  <si>
    <t>(C13W_vs_P13W_Growth_Tran   15)</t>
  </si>
  <si>
    <t>(CW_vs_PW_Growth_Tran   15)</t>
  </si>
  <si>
    <t>(Amount   15)</t>
  </si>
  <si>
    <t>(Time   15)</t>
  </si>
  <si>
    <t>(T 16)</t>
  </si>
  <si>
    <t>(TName 16)</t>
  </si>
  <si>
    <t>(CYTD Rank Act  16)</t>
  </si>
  <si>
    <t>(CYTD Rank Tran  16)</t>
  </si>
  <si>
    <t>(CYTD_vs_PYTD_Growth_Act   16)</t>
  </si>
  <si>
    <t>(C13W_vs_P13W_Growth_Act   16)</t>
  </si>
  <si>
    <t>(CW_vs_PW_Growth_Act   16)</t>
  </si>
  <si>
    <t>(CYTD_vs_PYTD_Growth_Tran   16)</t>
  </si>
  <si>
    <t>(C13W_vs_P13W_Growth_Tran   16)</t>
  </si>
  <si>
    <t>(CW_vs_PW_Growth_Tran   16)</t>
  </si>
  <si>
    <t>(Amount   16)</t>
  </si>
  <si>
    <t>(Time   16)</t>
  </si>
  <si>
    <t>District_Name</t>
  </si>
  <si>
    <t>(T 17)</t>
  </si>
  <si>
    <t>(T 18)</t>
  </si>
  <si>
    <t>(T 19)</t>
  </si>
  <si>
    <t>(T 20)</t>
  </si>
  <si>
    <t>(T 21)</t>
  </si>
  <si>
    <t>(T 22)</t>
  </si>
  <si>
    <t>(T 23)</t>
  </si>
  <si>
    <t>(T 24)</t>
  </si>
  <si>
    <t>(T 25)</t>
  </si>
  <si>
    <t>(T 26)</t>
  </si>
  <si>
    <t>(T 27)</t>
  </si>
  <si>
    <t>(T Name 9)</t>
  </si>
  <si>
    <t>(T Name 10)</t>
  </si>
  <si>
    <t>(T Name 11)</t>
  </si>
  <si>
    <t>(T Name 12)</t>
  </si>
  <si>
    <t>(T Name 13)</t>
  </si>
  <si>
    <t>(T Name 14)</t>
  </si>
  <si>
    <t>(T Name 15)</t>
  </si>
  <si>
    <t>(T Name 16)</t>
  </si>
  <si>
    <t>(T Name 17)</t>
  </si>
  <si>
    <t>(T Name 18)</t>
  </si>
  <si>
    <t>(T Name 19)</t>
  </si>
  <si>
    <t>(T Name 20)</t>
  </si>
  <si>
    <t>(T Name 21)</t>
  </si>
  <si>
    <t>(T Name 22)</t>
  </si>
  <si>
    <t>(T Name 23)</t>
  </si>
  <si>
    <t>(T Name 24)</t>
  </si>
  <si>
    <t>(T Name 25)</t>
  </si>
  <si>
    <t>(T Name 26)</t>
  </si>
  <si>
    <t>(T Name 27)</t>
  </si>
  <si>
    <t>(CYTD Rank Act 9)</t>
  </si>
  <si>
    <t>(CYTD Rank Act 10)</t>
  </si>
  <si>
    <t>(CYTD Rank Act 11)</t>
  </si>
  <si>
    <t>(CYTD Rank Act 12)</t>
  </si>
  <si>
    <t>(CYTD Rank Act 13)</t>
  </si>
  <si>
    <t>(CYTD Rank Act 14)</t>
  </si>
  <si>
    <t>(CYTD Rank Act 15)</t>
  </si>
  <si>
    <t>(CYTD Rank Act 16)</t>
  </si>
  <si>
    <t>(CYTD Rank Act 17)</t>
  </si>
  <si>
    <t>(CYTD Rank Act 18)</t>
  </si>
  <si>
    <t>(CYTD Rank Act 19)</t>
  </si>
  <si>
    <t>(CYTD Rank Act 20)</t>
  </si>
  <si>
    <t>(CYTD Rank Act 21)</t>
  </si>
  <si>
    <t>(CYTD Rank Act 22)</t>
  </si>
  <si>
    <t>(CYTD Rank Act 23)</t>
  </si>
  <si>
    <t>(CYTD Rank Act 24)</t>
  </si>
  <si>
    <t>(CYTD Rank Act 25)</t>
  </si>
  <si>
    <t>(CYTD Rank Act 26)</t>
  </si>
  <si>
    <t>(CYTD Rank Act 27)</t>
  </si>
  <si>
    <t>(CYTD Rank Tran 9)</t>
  </si>
  <si>
    <t>(CYTD Rank Tran 10)</t>
  </si>
  <si>
    <t>(CYTD Rank Tran 11)</t>
  </si>
  <si>
    <t>(CYTD Rank Tran 12)</t>
  </si>
  <si>
    <t>(CYTD Rank Tran 13)</t>
  </si>
  <si>
    <t>(CYTD Rank Tran 14)</t>
  </si>
  <si>
    <t>(CYTD Rank Tran 15)</t>
  </si>
  <si>
    <t>(CYTD Rank Tran 16)</t>
  </si>
  <si>
    <t>(CYTD Rank Tran 17)</t>
  </si>
  <si>
    <t>(CYTD Rank Tran 18)</t>
  </si>
  <si>
    <t>(CYTD Rank Tran 19)</t>
  </si>
  <si>
    <t>(CYTD Rank Tran 20)</t>
  </si>
  <si>
    <t>(CYTD Rank Tran 21)</t>
  </si>
  <si>
    <t>(CYTD Rank Tran 22)</t>
  </si>
  <si>
    <t>(CYTD Rank Tran 23)</t>
  </si>
  <si>
    <t>(CYTD Rank Tran 24)</t>
  </si>
  <si>
    <t>(CYTD Rank Tran 25)</t>
  </si>
  <si>
    <t>(CYTD Rank Tran 26)</t>
  </si>
  <si>
    <t>(CYTD Rank Tran 27)</t>
  </si>
  <si>
    <t>(CYTD_vs_PYTD_Growth_Act 9)</t>
  </si>
  <si>
    <t>(CYTD_vs_PYTD_Growth_Act 10)</t>
  </si>
  <si>
    <t>(CYTD_vs_PYTD_Growth_Act 11)</t>
  </si>
  <si>
    <t>(CYTD_vs_PYTD_Growth_Act 12)</t>
  </si>
  <si>
    <t>(CYTD_vs_PYTD_Growth_Act 13)</t>
  </si>
  <si>
    <t>(CYTD_vs_PYTD_Growth_Act 14)</t>
  </si>
  <si>
    <t>(CYTD_vs_PYTD_Growth_Act 15)</t>
  </si>
  <si>
    <t>(CYTD_vs_PYTD_Growth_Act 16)</t>
  </si>
  <si>
    <t>(CYTD_vs_PYTD_Growth_Act 17)</t>
  </si>
  <si>
    <t>(CYTD_vs_PYTD_Growth_Act 18)</t>
  </si>
  <si>
    <t>(CYTD_vs_PYTD_Growth_Act 19)</t>
  </si>
  <si>
    <t>(CYTD_vs_PYTD_Growth_Act 20)</t>
  </si>
  <si>
    <t>(CYTD_vs_PYTD_Growth_Act 21)</t>
  </si>
  <si>
    <t>(CYTD_vs_PYTD_Growth_Act 22)</t>
  </si>
  <si>
    <t>(CYTD_vs_PYTD_Growth_Act 23)</t>
  </si>
  <si>
    <t>(CYTD_vs_PYTD_Growth_Act 24)</t>
  </si>
  <si>
    <t>(CYTD_vs_PYTD_Growth_Act 25)</t>
  </si>
  <si>
    <t>(CYTD_vs_PYTD_Growth_Act 26)</t>
  </si>
  <si>
    <t>(CYTD_vs_PYTD_Growth_Act 27)</t>
  </si>
  <si>
    <t>(C13W_vs_P13W_Growth_Act 9)</t>
  </si>
  <si>
    <t>(C13W_vs_P13W_Growth_Act 10)</t>
  </si>
  <si>
    <t>(C13W_vs_P13W_Growth_Act 11)</t>
  </si>
  <si>
    <t>(C13W_vs_P13W_Growth_Act 12)</t>
  </si>
  <si>
    <t>(C13W_vs_P13W_Growth_Act 13)</t>
  </si>
  <si>
    <t>(C13W_vs_P13W_Growth_Act 14)</t>
  </si>
  <si>
    <t>(C13W_vs_P13W_Growth_Act 15)</t>
  </si>
  <si>
    <t>(C13W_vs_P13W_Growth_Act 16)</t>
  </si>
  <si>
    <t>(C13W_vs_P13W_Growth_Act 17)</t>
  </si>
  <si>
    <t>(C13W_vs_P13W_Growth_Act 18)</t>
  </si>
  <si>
    <t>(C13W_vs_P13W_Growth_Act 19)</t>
  </si>
  <si>
    <t>(C13W_vs_P13W_Growth_Act 20)</t>
  </si>
  <si>
    <t>(C13W_vs_P13W_Growth_Act 21)</t>
  </si>
  <si>
    <t>(C13W_vs_P13W_Growth_Act 22)</t>
  </si>
  <si>
    <t>(C13W_vs_P13W_Growth_Act 23)</t>
  </si>
  <si>
    <t>(C13W_vs_P13W_Growth_Act 24)</t>
  </si>
  <si>
    <t>(C13W_vs_P13W_Growth_Act 25)</t>
  </si>
  <si>
    <t>(C13W_vs_P13W_Growth_Act 26)</t>
  </si>
  <si>
    <t>(C13W_vs_P13W_Growth_Act 27)</t>
  </si>
  <si>
    <t>(CW_vs_PW_Growth_Act 9)</t>
  </si>
  <si>
    <t>(CW_vs_PW_Growth_Act 10)</t>
  </si>
  <si>
    <t>(CW_vs_PW_Growth_Act 11)</t>
  </si>
  <si>
    <t>(CW_vs_PW_Growth_Act 12)</t>
  </si>
  <si>
    <t>(CW_vs_PW_Growth_Act 13)</t>
  </si>
  <si>
    <t>(CW_vs_PW_Growth_Act 14)</t>
  </si>
  <si>
    <t>(CW_vs_PW_Growth_Act 15)</t>
  </si>
  <si>
    <t>(CW_vs_PW_Growth_Act 16)</t>
  </si>
  <si>
    <t>(CW_vs_PW_Growth_Act 17)</t>
  </si>
  <si>
    <t>(CW_vs_PW_Growth_Act 18)</t>
  </si>
  <si>
    <t>(CW_vs_PW_Growth_Act 19)</t>
  </si>
  <si>
    <t>(CW_vs_PW_Growth_Act 20)</t>
  </si>
  <si>
    <t>(CW_vs_PW_Growth_Act 21)</t>
  </si>
  <si>
    <t>(CW_vs_PW_Growth_Act 22)</t>
  </si>
  <si>
    <t>(CW_vs_PW_Growth_Act 23)</t>
  </si>
  <si>
    <t>(CW_vs_PW_Growth_Act 24)</t>
  </si>
  <si>
    <t>(CW_vs_PW_Growth_Act 25)</t>
  </si>
  <si>
    <t>(CW_vs_PW_Growth_Act 26)</t>
  </si>
  <si>
    <t>(CW_vs_PW_Growth_Act 27)</t>
  </si>
  <si>
    <t>(CYTD_vs_PYTD_Growth_Tran 9)</t>
  </si>
  <si>
    <t>(CYTD_vs_PYTD_Growth_Tran 10)</t>
  </si>
  <si>
    <t>(CYTD_vs_PYTD_Growth_Tran 11)</t>
  </si>
  <si>
    <t>(CYTD_vs_PYTD_Growth_Tran 12)</t>
  </si>
  <si>
    <t>(CYTD_vs_PYTD_Growth_Tran 13)</t>
  </si>
  <si>
    <t>(CYTD_vs_PYTD_Growth_Tran 14)</t>
  </si>
  <si>
    <t>(CYTD_vs_PYTD_Growth_Tran 15)</t>
  </si>
  <si>
    <t>(CYTD_vs_PYTD_Growth_Tran 16)</t>
  </si>
  <si>
    <t>(CYTD_vs_PYTD_Growth_Tran 17)</t>
  </si>
  <si>
    <t>(CYTD_vs_PYTD_Growth_Tran 18)</t>
  </si>
  <si>
    <t>(CYTD_vs_PYTD_Growth_Tran 19)</t>
  </si>
  <si>
    <t>(CYTD_vs_PYTD_Growth_Tran 20)</t>
  </si>
  <si>
    <t>(CYTD_vs_PYTD_Growth_Tran 21)</t>
  </si>
  <si>
    <t>(CYTD_vs_PYTD_Growth_Tran 22)</t>
  </si>
  <si>
    <t>(CYTD_vs_PYTD_Growth_Tran 23)</t>
  </si>
  <si>
    <t>(CYTD_vs_PYTD_Growth_Tran 24)</t>
  </si>
  <si>
    <t>(CYTD_vs_PYTD_Growth_Tran 25)</t>
  </si>
  <si>
    <t>(CYTD_vs_PYTD_Growth_Tran 26)</t>
  </si>
  <si>
    <t>(CYTD_vs_PYTD_Growth_Tran 27)</t>
  </si>
  <si>
    <t>(C13W_vs_P13W_Growth_Tran 9)</t>
  </si>
  <si>
    <t>(C13W_vs_P13W_Growth_Tran 10)</t>
  </si>
  <si>
    <t>(C13W_vs_P13W_Growth_Tran 11)</t>
  </si>
  <si>
    <t>(C13W_vs_P13W_Growth_Tran 12)</t>
  </si>
  <si>
    <t>(C13W_vs_P13W_Growth_Tran 13)</t>
  </si>
  <si>
    <t>(C13W_vs_P13W_Growth_Tran 14)</t>
  </si>
  <si>
    <t>(C13W_vs_P13W_Growth_Tran 15)</t>
  </si>
  <si>
    <t>(C13W_vs_P13W_Growth_Tran 16)</t>
  </si>
  <si>
    <t>(C13W_vs_P13W_Growth_Tran 17)</t>
  </si>
  <si>
    <t>(C13W_vs_P13W_Growth_Tran 18)</t>
  </si>
  <si>
    <t>(C13W_vs_P13W_Growth_Tran 19)</t>
  </si>
  <si>
    <t>(C13W_vs_P13W_Growth_Tran 20)</t>
  </si>
  <si>
    <t>(C13W_vs_P13W_Growth_Tran 21)</t>
  </si>
  <si>
    <t>(C13W_vs_P13W_Growth_Tran 22)</t>
  </si>
  <si>
    <t>(C13W_vs_P13W_Growth_Tran 23)</t>
  </si>
  <si>
    <t>(C13W_vs_P13W_Growth_Tran 24)</t>
  </si>
  <si>
    <t>(C13W_vs_P13W_Growth_Tran 25)</t>
  </si>
  <si>
    <t>(C13W_vs_P13W_Growth_Tran 26)</t>
  </si>
  <si>
    <t>(C13W_vs_P13W_Growth_Tran 27)</t>
  </si>
  <si>
    <t>(CW_vs_PW_Growth_Tran 9)</t>
  </si>
  <si>
    <t>(CW_vs_PW_Growth_Tran 10)</t>
  </si>
  <si>
    <t>(CW_vs_PW_Growth_Tran 11)</t>
  </si>
  <si>
    <t>(CW_vs_PW_Growth_Tran 12)</t>
  </si>
  <si>
    <t>(CW_vs_PW_Growth_Tran 13)</t>
  </si>
  <si>
    <t>(CW_vs_PW_Growth_Tran 14)</t>
  </si>
  <si>
    <t>(CW_vs_PW_Growth_Tran 15)</t>
  </si>
  <si>
    <t>(CW_vs_PW_Growth_Tran 16)</t>
  </si>
  <si>
    <t>(CW_vs_PW_Growth_Tran 17)</t>
  </si>
  <si>
    <t>(CW_vs_PW_Growth_Tran 18)</t>
  </si>
  <si>
    <t>(CW_vs_PW_Growth_Tran 19)</t>
  </si>
  <si>
    <t>(CW_vs_PW_Growth_Tran 20)</t>
  </si>
  <si>
    <t>(CW_vs_PW_Growth_Tran 21)</t>
  </si>
  <si>
    <t>(CW_vs_PW_Growth_Tran 22)</t>
  </si>
  <si>
    <t>(CW_vs_PW_Growth_Tran 23)</t>
  </si>
  <si>
    <t>(CW_vs_PW_Growth_Tran 24)</t>
  </si>
  <si>
    <t>(CW_vs_PW_Growth_Tran 25)</t>
  </si>
  <si>
    <t>(CW_vs_PW_Growth_Tran 26)</t>
  </si>
  <si>
    <t>(CW_vs_PW_Growth_Tran 27)</t>
  </si>
  <si>
    <t>(Amount 9)</t>
  </si>
  <si>
    <t>(Amount 10)</t>
  </si>
  <si>
    <t>(Amount 11)</t>
  </si>
  <si>
    <t>(Amount 12)</t>
  </si>
  <si>
    <t>(Amount 13)</t>
  </si>
  <si>
    <t>(Amount 14)</t>
  </si>
  <si>
    <t>(Amount 15)</t>
  </si>
  <si>
    <t>(Amount 16)</t>
  </si>
  <si>
    <t>(Amount 17)</t>
  </si>
  <si>
    <t>(Amount 18)</t>
  </si>
  <si>
    <t>(Amount 19)</t>
  </si>
  <si>
    <t>(Amount 20)</t>
  </si>
  <si>
    <t>(Amount 21)</t>
  </si>
  <si>
    <t>(Amount 22)</t>
  </si>
  <si>
    <t>(Amount 23)</t>
  </si>
  <si>
    <t>(Amount 24)</t>
  </si>
  <si>
    <t>(Amount 25)</t>
  </si>
  <si>
    <t>(Amount 26)</t>
  </si>
  <si>
    <t>(Amount 27)</t>
  </si>
  <si>
    <t>(Time 9)</t>
  </si>
  <si>
    <t>(Time 10)</t>
  </si>
  <si>
    <t>(Time 11)</t>
  </si>
  <si>
    <t>(Time 12)</t>
  </si>
  <si>
    <t>(Time 13)</t>
  </si>
  <si>
    <t>(Time 14)</t>
  </si>
  <si>
    <t>(Time 15)</t>
  </si>
  <si>
    <t>(Time 16)</t>
  </si>
  <si>
    <t>(Time 17)</t>
  </si>
  <si>
    <t>(Time 18)</t>
  </si>
  <si>
    <t>(Time 19)</t>
  </si>
  <si>
    <t>(Time 20)</t>
  </si>
  <si>
    <t>(Time 21)</t>
  </si>
  <si>
    <t>(Time 22)</t>
  </si>
  <si>
    <t>(Time 23)</t>
  </si>
  <si>
    <t>(Time 24)</t>
  </si>
  <si>
    <t>(Time 25)</t>
  </si>
  <si>
    <t>(Time 26)</t>
  </si>
  <si>
    <t>(Time 27)</t>
  </si>
  <si>
    <t>Selected Program Type</t>
  </si>
  <si>
    <t>District Format</t>
  </si>
  <si>
    <t>SF Details Format</t>
  </si>
  <si>
    <t>SF</t>
  </si>
  <si>
    <t>Selected SF</t>
  </si>
  <si>
    <t>StartRow</t>
  </si>
  <si>
    <t>EndRow</t>
  </si>
  <si>
    <t>NumOfRows</t>
  </si>
  <si>
    <t>Regions</t>
  </si>
  <si>
    <t>CW vs. PW
% Growth 
Activations</t>
  </si>
  <si>
    <t>CW vs. PW
% Growth 
Transactions</t>
  </si>
  <si>
    <t>CYTD Growth % Rank : Transactions</t>
  </si>
  <si>
    <t>District Details</t>
  </si>
  <si>
    <t>SF Details</t>
  </si>
  <si>
    <t>CYTD Growth %
Rank :
Activations</t>
  </si>
  <si>
    <t>CYTD Growth %
Rank :
Transactions</t>
  </si>
  <si>
    <t>CYTD Growth % Rank : Activations</t>
  </si>
  <si>
    <t>RegionName</t>
  </si>
  <si>
    <t>Northeast</t>
  </si>
  <si>
    <t>Selected Region</t>
  </si>
  <si>
    <t>P</t>
  </si>
  <si>
    <t>Q</t>
  </si>
  <si>
    <t>R</t>
  </si>
  <si>
    <t>S</t>
  </si>
  <si>
    <t>T</t>
  </si>
  <si>
    <t>U</t>
  </si>
  <si>
    <t>V</t>
  </si>
  <si>
    <t>W</t>
  </si>
  <si>
    <t>X</t>
  </si>
  <si>
    <t>Y</t>
  </si>
  <si>
    <t>Z</t>
  </si>
  <si>
    <t>AA</t>
  </si>
  <si>
    <t>AB</t>
  </si>
  <si>
    <t>Activations by Indication</t>
  </si>
  <si>
    <t>Indication</t>
  </si>
  <si>
    <t>Transactions by Indication</t>
  </si>
  <si>
    <t>Jan-(PY)</t>
  </si>
  <si>
    <t>Feb-(PY)</t>
  </si>
  <si>
    <t>Mar-(PY)</t>
  </si>
  <si>
    <t>Apr-(PY)</t>
  </si>
  <si>
    <t>May-(PY)</t>
  </si>
  <si>
    <t>Jun-(PY)</t>
  </si>
  <si>
    <t>Jul-(PY)</t>
  </si>
  <si>
    <t>Aug-(PY)</t>
  </si>
  <si>
    <t>Sep-(PY)</t>
  </si>
  <si>
    <t>Oct-(PY)</t>
  </si>
  <si>
    <t>Nov-(PY)</t>
  </si>
  <si>
    <t>Dec-(PY)</t>
  </si>
  <si>
    <t>Jan-(CY)</t>
  </si>
  <si>
    <t>Feb-(CY)</t>
  </si>
  <si>
    <t>(Activations)</t>
  </si>
  <si>
    <t>(Transactions)</t>
  </si>
  <si>
    <t>(Month No)</t>
  </si>
  <si>
    <t>Mar-(CY)</t>
  </si>
  <si>
    <t>Apr-(CY)</t>
  </si>
  <si>
    <t>May-(CY)</t>
  </si>
  <si>
    <t>Jun-(CY)</t>
  </si>
  <si>
    <t>Jul-(CY)</t>
  </si>
  <si>
    <t>Aug-(CY)</t>
  </si>
  <si>
    <t>Sep-(CY)</t>
  </si>
  <si>
    <t>Oct(CY)</t>
  </si>
  <si>
    <t>Nov-(CY)</t>
  </si>
  <si>
    <t>Dec-(CY)</t>
  </si>
  <si>
    <t>Pie Chart Data:</t>
  </si>
  <si>
    <t>Bar Chart Data:</t>
  </si>
  <si>
    <t>For Internal Use Only</t>
  </si>
  <si>
    <t>CYTD vs. PYTD
% Growth 
Activations</t>
  </si>
  <si>
    <t>CYTD vs. PYTD 
% Growth 
Transactions</t>
  </si>
  <si>
    <t>Select SF</t>
  </si>
  <si>
    <t>Week ending represents the end date till when the data has been taken into account</t>
  </si>
  <si>
    <t>National Rank for CYTD Growth Activations &amp; Transactions represents ranking of the region on a National level on the basis of CYTD vs PYTD Growth %</t>
  </si>
  <si>
    <t>Print button opens up the print dialog box</t>
  </si>
  <si>
    <t>Reset button resets the dropdown to "All" and resets column filters on the active sheet only</t>
  </si>
  <si>
    <t>Data Points</t>
  </si>
  <si>
    <t>Monthly Trend charts show data only for the completed calendar months</t>
  </si>
  <si>
    <t>Data Values on Dashboard Sheet are shown based on the selected program type in the dropdown</t>
  </si>
  <si>
    <t>Avg. Copay payout values show $0 if there is no transaction in the defined time period</t>
  </si>
  <si>
    <t>Time to First Transaction shows blank when there are no transactions / activations in the defined time period</t>
  </si>
  <si>
    <t>% Growth values are rounded off to 1 decimal place in all worksheets</t>
  </si>
  <si>
    <t>National Ranks are calculated on basis of % growth(taken upto 1 decimal place)</t>
  </si>
  <si>
    <t>Rankings are calculated on a basis of 1-1-1-4 ranking system i.e. Rank gets skipped in case of ties</t>
  </si>
  <si>
    <t>Data Values at Program type "All" represent Activity of patients across all program types and is not the actual sum of values of activity in each program type</t>
  </si>
  <si>
    <t>Select Geography</t>
  </si>
  <si>
    <r>
      <rPr>
        <b/>
        <i/>
        <sz val="11"/>
        <color indexed="10"/>
        <rFont val="等线"/>
        <family val="2"/>
      </rPr>
      <t xml:space="preserve">Note: </t>
    </r>
    <r>
      <rPr>
        <i/>
        <sz val="11"/>
        <color indexed="10"/>
        <rFont val="等线"/>
        <family val="2"/>
      </rPr>
      <t>Graph data is loaded monthly. Scroll down to tables below to see most current weekly data.</t>
    </r>
  </si>
  <si>
    <r>
      <rPr>
        <b/>
        <i/>
        <sz val="11"/>
        <color indexed="10"/>
        <rFont val="等线"/>
        <family val="2"/>
      </rPr>
      <t>Note:</t>
    </r>
    <r>
      <rPr>
        <i/>
        <sz val="11"/>
        <color indexed="10"/>
        <rFont val="等线"/>
        <family val="2"/>
      </rPr>
      <t xml:space="preserve"> Transaction and Activations without a territory, district and region have been filtered from the report.</t>
    </r>
  </si>
  <si>
    <t>Activations/Transactions against indication are taken for program type "All" and Activations/Transactions having indication as "Unknown" are not taken into account</t>
  </si>
  <si>
    <t>Activations and transactions against indication show data only for the completed calendar months</t>
  </si>
  <si>
    <r>
      <t xml:space="preserve">Note: </t>
    </r>
    <r>
      <rPr>
        <i/>
        <sz val="11"/>
        <color indexed="10"/>
        <rFont val="等线"/>
        <family val="2"/>
      </rPr>
      <t>1. Only completed months are displayed. 2. Unknown indications are not displayed.</t>
    </r>
  </si>
  <si>
    <t>Program Type filter allows to select a program type in  "All", "Retail","Debit","DMR"</t>
  </si>
  <si>
    <t>12 days</t>
  </si>
  <si>
    <t>11 days</t>
  </si>
  <si>
    <t>10 days</t>
  </si>
  <si>
    <t>13 days</t>
  </si>
  <si>
    <t>15 days</t>
  </si>
  <si>
    <t>3QD00</t>
  </si>
  <si>
    <t>Richmond, VA</t>
  </si>
  <si>
    <t>3PB00</t>
  </si>
  <si>
    <t>Boston, MA</t>
  </si>
  <si>
    <t>9 days</t>
  </si>
  <si>
    <t>3SD00</t>
  </si>
  <si>
    <t>Birmingham, AL</t>
  </si>
  <si>
    <t>3VG00</t>
  </si>
  <si>
    <t>Salt Lake - Las Vegas</t>
  </si>
  <si>
    <t>3QF00</t>
  </si>
  <si>
    <t>Cleveland, OH</t>
  </si>
  <si>
    <t>16 days</t>
  </si>
  <si>
    <t>3SB00</t>
  </si>
  <si>
    <t>Tampa, FL</t>
  </si>
  <si>
    <t>3UF00</t>
  </si>
  <si>
    <t>Minneapolis, MN</t>
  </si>
  <si>
    <t>3RG00</t>
  </si>
  <si>
    <t>Columbia, SC</t>
  </si>
  <si>
    <t>8 days</t>
  </si>
  <si>
    <t>3QA00</t>
  </si>
  <si>
    <t>New Jersey, NJ</t>
  </si>
  <si>
    <t>3TH00</t>
  </si>
  <si>
    <t>Los Angeles, CA</t>
  </si>
  <si>
    <t>3SA00</t>
  </si>
  <si>
    <t>Miami, FL</t>
  </si>
  <si>
    <t>14 days</t>
  </si>
  <si>
    <t>3UH00</t>
  </si>
  <si>
    <t>Grand Rapids, MI</t>
  </si>
  <si>
    <t>3VB00</t>
  </si>
  <si>
    <t>Portland,OR</t>
  </si>
  <si>
    <t>3TF00</t>
  </si>
  <si>
    <t>Phoenix, AZ</t>
  </si>
  <si>
    <t>3VD00</t>
  </si>
  <si>
    <t>San Francisco, CA</t>
  </si>
  <si>
    <t>3TG00</t>
  </si>
  <si>
    <t>Southern California</t>
  </si>
  <si>
    <t>3SF00</t>
  </si>
  <si>
    <t>New Orleans, LA</t>
  </si>
  <si>
    <t>3PC00</t>
  </si>
  <si>
    <t>Hartford, CT</t>
  </si>
  <si>
    <t>3QH00</t>
  </si>
  <si>
    <t>Pittsburgh, PA</t>
  </si>
  <si>
    <t>3VC00</t>
  </si>
  <si>
    <t>Sacramento, CA</t>
  </si>
  <si>
    <t>3UC00</t>
  </si>
  <si>
    <t>Iowa - Nebraska</t>
  </si>
  <si>
    <t>3RB00</t>
  </si>
  <si>
    <t>Louisville, KY</t>
  </si>
  <si>
    <t>3SC00</t>
  </si>
  <si>
    <t>Jacksonville, FL</t>
  </si>
  <si>
    <t>3UB00</t>
  </si>
  <si>
    <t>Chicago, IL</t>
  </si>
  <si>
    <t>3TA00</t>
  </si>
  <si>
    <t>Houston, TX</t>
  </si>
  <si>
    <t>3UD00</t>
  </si>
  <si>
    <t>Detroit, MI</t>
  </si>
  <si>
    <t>3RH00</t>
  </si>
  <si>
    <t>Charlotte, NC</t>
  </si>
  <si>
    <t>3RA00</t>
  </si>
  <si>
    <t>Nashville, TN</t>
  </si>
  <si>
    <t>3PG00</t>
  </si>
  <si>
    <t>Long Island, NY</t>
  </si>
  <si>
    <t>3PH00</t>
  </si>
  <si>
    <t>Upstate, NY</t>
  </si>
  <si>
    <t>3PD00</t>
  </si>
  <si>
    <t>Manhattan, NY</t>
  </si>
  <si>
    <t>3QB00</t>
  </si>
  <si>
    <t>Philadelphia, PA</t>
  </si>
  <si>
    <t>3VF00</t>
  </si>
  <si>
    <t>Thousand Oaks, CA</t>
  </si>
  <si>
    <t>3TC00</t>
  </si>
  <si>
    <t>Dallas, TX</t>
  </si>
  <si>
    <t>3RC00</t>
  </si>
  <si>
    <t>Indianapolis, IN</t>
  </si>
  <si>
    <t>3TD00</t>
  </si>
  <si>
    <t>Kansas City, OK</t>
  </si>
  <si>
    <t>3VA00</t>
  </si>
  <si>
    <t>Washington</t>
  </si>
  <si>
    <t>3RF00</t>
  </si>
  <si>
    <t>Memphis, TN</t>
  </si>
  <si>
    <t>3UA00</t>
  </si>
  <si>
    <t>Milwaukee, WI</t>
  </si>
  <si>
    <t>3TB00</t>
  </si>
  <si>
    <t>San Antonio, TX</t>
  </si>
  <si>
    <t>3RD00</t>
  </si>
  <si>
    <t>Raleigh, NC</t>
  </si>
  <si>
    <t>3UG00</t>
  </si>
  <si>
    <t>St Louis, MO</t>
  </si>
  <si>
    <t>3VH00</t>
  </si>
  <si>
    <t>Denver, CO</t>
  </si>
  <si>
    <t>3QC00</t>
  </si>
  <si>
    <t>Washington DC, MD</t>
  </si>
  <si>
    <t>3QG00</t>
  </si>
  <si>
    <t>Charleston, WV</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</si>
  <si>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</si>
  <si>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Patient to Physician mapping is done on the basis of first transaction irrespective of offer code</t>
  </si>
  <si>
    <t>For physicians with NPI or Amgen customer ID, they are mapped to the geographical area of their primary address in the alignment table. If the physicians do not have NPI or Amgen customer ID, they will be grouped into all other physicians.</t>
  </si>
  <si>
    <t/>
  </si>
  <si>
    <t>PsA</t>
  </si>
  <si>
    <t>PsO (aged 18+)</t>
  </si>
  <si>
    <t>PsO (age 4-17)</t>
  </si>
  <si>
    <t>PsP</t>
  </si>
  <si>
    <t>PsP</t>
    <phoneticPr fontId="3" type="noConversion"/>
  </si>
  <si>
    <t>PsO (aged 19+)</t>
  </si>
  <si>
    <t>PsO (age 4-18)</t>
  </si>
  <si>
    <t>PsO (aged 20+)</t>
  </si>
  <si>
    <t>PsO (age 4-19)</t>
  </si>
  <si>
    <t>PsO (aged 21+)</t>
  </si>
  <si>
    <t>PsO (age 4-20)</t>
  </si>
  <si>
    <t>PsO (aged 22+)</t>
  </si>
  <si>
    <t>PsO (age 4-21)</t>
  </si>
  <si>
    <t>PsO (aged 23+)</t>
  </si>
  <si>
    <t>PsO (age 4-22)</t>
  </si>
  <si>
    <t>PsO (aged 24+)</t>
  </si>
  <si>
    <t>PsO (age 4-23)</t>
  </si>
  <si>
    <t>PsO (aged 25+)</t>
  </si>
  <si>
    <t>PsO (age 4-24)</t>
  </si>
  <si>
    <t>PsO (aged 26+)</t>
  </si>
  <si>
    <t>PsO (age 4-25)</t>
  </si>
  <si>
    <t>PsO (aged 27+)</t>
  </si>
  <si>
    <t>PsO (age 4-26)</t>
  </si>
  <si>
    <t>PsO (aged 28+)</t>
  </si>
  <si>
    <t>PsO (age 4-27)</t>
  </si>
  <si>
    <t>PsO (aged 29+)</t>
  </si>
  <si>
    <t>PsO (age 4-28)</t>
  </si>
  <si>
    <t>PsO (aged 30+)</t>
  </si>
  <si>
    <t>PsO (age 4-29)</t>
  </si>
  <si>
    <t>PsO (aged 31+)</t>
  </si>
  <si>
    <t>PsO (age 4-30)</t>
  </si>
  <si>
    <t>PsO (aged 32+)</t>
  </si>
  <si>
    <t>PsO (age 4-31)</t>
  </si>
  <si>
    <t>PsO (aged 33+)</t>
  </si>
  <si>
    <t>PsO (age 4-32)</t>
  </si>
  <si>
    <t>PSA</t>
  </si>
  <si>
    <t>PSO(aged 18+)</t>
  </si>
  <si>
    <t>PSO(age 4-17)</t>
  </si>
  <si>
    <t>PSP</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</si>
  <si>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phoneticPr fontId="3" type="noConversion"/>
  </si>
  <si>
    <t xml:space="preserve">Week Ending - </t>
    <phoneticPr fontId="3" type="noConversion"/>
  </si>
  <si>
    <t>District</t>
    <phoneticPr fontId="3" type="noConversion"/>
  </si>
  <si>
    <t>Territory</t>
    <phoneticPr fontId="3" type="noConversion"/>
  </si>
  <si>
    <t>Territory_Name</t>
    <phoneticPr fontId="3" type="noConversion"/>
  </si>
  <si>
    <t>CYTD_Rank_Activations</t>
    <phoneticPr fontId="3" type="noConversion"/>
  </si>
  <si>
    <t>CYTD_Rank_Transactions</t>
    <phoneticPr fontId="3" type="noConversion"/>
  </si>
  <si>
    <t>CYTD_vs_PYDT_Growth_Activations</t>
    <phoneticPr fontId="3" type="noConversion"/>
  </si>
  <si>
    <t>C13W_vs_P13W_Growth_Activations</t>
    <phoneticPr fontId="3" type="noConversion"/>
  </si>
  <si>
    <t>CW_vs_PW_Growth_Activations</t>
    <phoneticPr fontId="3" type="noConversion"/>
  </si>
  <si>
    <t>CYTD_vs_PYDT_Growth_Transactions</t>
    <phoneticPr fontId="3" type="noConversion"/>
  </si>
  <si>
    <t>C13W_vs_P13W_Growth_Transactions</t>
    <phoneticPr fontId="3" type="noConversion"/>
  </si>
  <si>
    <t>CW_vs_PW_Growth_Transactions</t>
    <phoneticPr fontId="3" type="noConversion"/>
  </si>
  <si>
    <t>C52W_Average_Copay_Payout</t>
    <phoneticPr fontId="3" type="noConversion"/>
  </si>
  <si>
    <t>C52W_Time_to_First_Transaction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</si>
</sst>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409]mmm\-yy;@"/>
    <numFmt numFmtId="181" formatCode="0.0%"/>
  </numFmts>
  <fonts count="35">
    <font>
      <sz val="11"/>
      <color theme="1"/>
      <name val="等线"/>
      <family val="2"/>
      <scheme val="minor"/>
    </font>
    <font>
      <b/>
      <i/>
      <sz val="11"/>
      <color indexed="10"/>
      <name val="等线"/>
      <family val="2"/>
    </font>
    <font>
      <i/>
      <sz val="11"/>
      <color indexed="10"/>
      <name val="等线"/>
      <family val="2"/>
    </font>
    <font>
      <sz val="9"/>
      <name val="等线"/>
      <family val="2"/>
    </font>
    <font>
      <sz val="11"/>
      <color theme="1"/>
      <name val="等线"/>
      <family val="2"/>
      <scheme val="minor"/>
    </font>
    <font>
      <sz val="10"/>
      <color theme="1"/>
      <name val="等线"/>
      <family val="2"/>
      <scheme val="minor"/>
    </font>
    <font>
      <sz val="10"/>
      <name val="等线"/>
      <family val="2"/>
      <scheme val="minor"/>
    </font>
    <font>
      <sz val="10"/>
      <color theme="0"/>
      <name val="等线"/>
      <family val="2"/>
      <scheme val="minor"/>
    </font>
    <font>
      <sz val="10"/>
      <color rgb="FFFF0000"/>
      <name val="等线"/>
      <family val="2"/>
      <scheme val="minor"/>
    </font>
    <font>
      <sz val="11"/>
      <color theme="1" tint="0.34998626667073579"/>
      <name val="等线"/>
      <family val="2"/>
      <scheme val="minor"/>
    </font>
    <font>
      <b/>
      <sz val="11"/>
      <color theme="1" tint="0.34998626667073579"/>
      <name val="等线"/>
      <family val="2"/>
      <scheme val="minor"/>
    </font>
    <font>
      <sz val="11"/>
      <color rgb="FFFF0000"/>
      <name val="等线"/>
      <family val="2"/>
      <scheme val="minor"/>
    </font>
    <font>
      <sz val="11"/>
      <color rgb="FF00B050"/>
      <name val="等线"/>
      <family val="2"/>
      <scheme val="minor"/>
    </font>
    <font>
      <sz val="10"/>
      <color rgb="FF0070C0"/>
      <name val="等线"/>
      <family val="2"/>
      <scheme val="minor"/>
    </font>
    <font>
      <b/>
      <sz val="10"/>
      <color rgb="FF0070C0"/>
      <name val="等线"/>
      <family val="2"/>
      <scheme val="minor"/>
    </font>
    <font>
      <sz val="18"/>
      <color theme="0"/>
      <name val="等线"/>
      <family val="2"/>
      <scheme val="minor"/>
    </font>
    <font>
      <b/>
      <sz val="10"/>
      <color theme="0"/>
      <name val="等线"/>
      <family val="2"/>
      <scheme val="minor"/>
    </font>
    <font>
      <b/>
      <sz val="18"/>
      <color theme="0"/>
      <name val="等线"/>
      <family val="2"/>
      <scheme val="minor"/>
    </font>
    <font>
      <b/>
      <sz val="11"/>
      <color theme="1"/>
      <name val="等线"/>
      <family val="2"/>
      <scheme val="minor"/>
    </font>
    <font>
      <b/>
      <sz val="11"/>
      <color theme="0"/>
      <name val="等线"/>
      <family val="2"/>
      <scheme val="minor"/>
    </font>
    <font>
      <sz val="11"/>
      <color rgb="FF0070C0"/>
      <name val="等线"/>
      <family val="2"/>
      <scheme val="minor"/>
    </font>
    <font>
      <sz val="8"/>
      <color theme="1" tint="0.34998626667073579"/>
      <name val="等线"/>
      <family val="2"/>
      <scheme val="minor"/>
    </font>
    <font>
      <b/>
      <sz val="12"/>
      <color theme="1"/>
      <name val="等线"/>
      <family val="2"/>
      <scheme val="minor"/>
    </font>
    <font>
      <sz val="11"/>
      <color theme="1"/>
      <name val="Agency FB"/>
      <family val="2"/>
    </font>
    <font>
      <sz val="11"/>
      <color theme="0"/>
      <name val="等线"/>
      <family val="2"/>
      <scheme val="minor"/>
    </font>
    <font>
      <sz val="11"/>
      <color theme="6" tint="-0.499984740745262"/>
      <name val="等线"/>
      <family val="2"/>
      <scheme val="minor"/>
    </font>
    <font>
      <b/>
      <sz val="11"/>
      <color theme="6" tint="-0.499984740745262"/>
      <name val="等线"/>
      <family val="2"/>
      <scheme val="minor"/>
    </font>
    <font>
      <b/>
      <i/>
      <sz val="11"/>
      <color theme="1"/>
      <name val="等线"/>
      <family val="2"/>
      <scheme val="minor"/>
    </font>
    <font>
      <i/>
      <sz val="11"/>
      <color rgb="FFFF0000"/>
      <name val="等线"/>
      <family val="2"/>
      <scheme val="minor"/>
    </font>
    <font>
      <b/>
      <i/>
      <sz val="11"/>
      <color rgb="FFFF0000"/>
      <name val="等线"/>
      <family val="2"/>
      <scheme val="minor"/>
    </font>
    <font>
      <b/>
      <sz val="11"/>
      <color rgb="FFFF0000"/>
      <name val="等线"/>
      <family val="2"/>
      <scheme val="minor"/>
    </font>
    <font>
      <b/>
      <sz val="11"/>
      <name val="等线"/>
      <family val="2"/>
      <scheme val="minor"/>
    </font>
    <font>
      <sz val="11"/>
      <color rgb="FF000000"/>
      <name val="Calibri"/>
      <family val="2"/>
    </font>
    <font>
      <sz val="11"/>
      <color theme="1"/>
      <name val="等线"/>
      <family val="3"/>
      <charset val="134"/>
      <scheme val="minor"/>
    </font>
    <font>
      <sz val="10"/>
      <color theme="1"/>
      <name val="等线"/>
      <family val="3"/>
      <charset val="134"/>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34998626667073579"/>
        <bgColor indexed="64"/>
      </patternFill>
    </fill>
  </fills>
  <borders count="50">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theme="1" tint="0.34998626667073579"/>
      </right>
      <top/>
      <bottom style="thin">
        <color theme="1" tint="0.34998626667073579"/>
      </bottom>
      <diagonal/>
    </border>
    <border>
      <left/>
      <right/>
      <top/>
      <bottom style="thin">
        <color theme="1" tint="0.34998626667073579"/>
      </bottom>
      <diagonal/>
    </border>
    <border>
      <left style="thin">
        <color theme="1" tint="0.34998626667073579"/>
      </left>
      <right/>
      <top/>
      <bottom style="thin">
        <color theme="1" tint="0.34998626667073579"/>
      </bottom>
      <diagonal/>
    </border>
    <border>
      <left/>
      <right style="thin">
        <color theme="1" tint="0.34998626667073579"/>
      </right>
      <top/>
      <bottom/>
      <diagonal/>
    </border>
    <border>
      <left style="thin">
        <color theme="1" tint="0.34998626667073579"/>
      </left>
      <right/>
      <top/>
      <bottom/>
      <diagonal/>
    </border>
    <border>
      <left/>
      <right/>
      <top style="dotted">
        <color theme="0" tint="-0.14993743705557422"/>
      </top>
      <bottom style="dotted">
        <color theme="0" tint="-0.14993743705557422"/>
      </bottom>
      <diagonal/>
    </border>
    <border>
      <left/>
      <right/>
      <top style="dotted">
        <color theme="0" tint="-0.14996795556505021"/>
      </top>
      <bottom style="dotted">
        <color theme="0" tint="-0.14993743705557422"/>
      </bottom>
      <diagonal/>
    </border>
    <border>
      <left/>
      <right/>
      <top/>
      <bottom style="dotted">
        <color theme="0" tint="-0.14996795556505021"/>
      </bottom>
      <diagonal/>
    </border>
    <border>
      <left/>
      <right/>
      <top style="dotted">
        <color theme="0" tint="-0.14993743705557422"/>
      </top>
      <bottom/>
      <diagonal/>
    </border>
    <border>
      <left/>
      <right/>
      <top style="dotted">
        <color theme="0" tint="-0.14993743705557422"/>
      </top>
      <bottom style="thin">
        <color theme="0" tint="-0.14990691854609822"/>
      </bottom>
      <diagonal/>
    </border>
    <border>
      <left style="medium">
        <color theme="0" tint="-0.14990691854609822"/>
      </left>
      <right/>
      <top/>
      <bottom/>
      <diagonal/>
    </border>
    <border>
      <left/>
      <right/>
      <top/>
      <bottom style="dotted">
        <color theme="0" tint="-0.14993743705557422"/>
      </bottom>
      <diagonal/>
    </border>
    <border>
      <left style="medium">
        <color theme="0" tint="-0.14990691854609822"/>
      </left>
      <right/>
      <top/>
      <bottom style="dotted">
        <color theme="0" tint="-0.14993743705557422"/>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right/>
      <top style="thin">
        <color theme="0" tint="-0.14990691854609822"/>
      </top>
      <bottom style="dotted">
        <color theme="0" tint="-0.14993743705557422"/>
      </bottom>
      <diagonal/>
    </border>
    <border>
      <left/>
      <right style="thin">
        <color theme="1" tint="0.34998626667073579"/>
      </right>
      <top style="thin">
        <color theme="1" tint="0.34998626667073579"/>
      </top>
      <bottom/>
      <diagonal/>
    </border>
    <border>
      <left/>
      <right/>
      <top style="thin">
        <color theme="1" tint="0.34998626667073579"/>
      </top>
      <bottom/>
      <diagonal/>
    </border>
    <border>
      <left style="thin">
        <color theme="1" tint="0.34998626667073579"/>
      </left>
      <right/>
      <top style="thin">
        <color theme="1" tint="0.34998626667073579"/>
      </top>
      <bottom/>
      <diagonal/>
    </border>
    <border>
      <left/>
      <right/>
      <top style="medium">
        <color theme="6" tint="0.59999389629810485"/>
      </top>
      <bottom style="thin">
        <color theme="6" tint="0.59999389629810485"/>
      </bottom>
      <diagonal/>
    </border>
    <border>
      <left style="thin">
        <color theme="6" tint="-0.499984740745262"/>
      </left>
      <right/>
      <top style="thin">
        <color theme="6" tint="-0.499984740745262"/>
      </top>
      <bottom/>
      <diagonal/>
    </border>
    <border>
      <left/>
      <right/>
      <top style="thin">
        <color theme="6" tint="-0.499984740745262"/>
      </top>
      <bottom/>
      <diagonal/>
    </border>
    <border>
      <left style="thin">
        <color theme="6" tint="-0.499984740745262"/>
      </left>
      <right/>
      <top/>
      <bottom/>
      <diagonal/>
    </border>
    <border>
      <left/>
      <right/>
      <top style="medium">
        <color theme="6" tint="0.39997558519241921"/>
      </top>
      <bottom style="medium">
        <color theme="6" tint="0.39997558519241921"/>
      </bottom>
      <diagonal/>
    </border>
    <border>
      <left style="thin">
        <color theme="6" tint="-0.499984740745262"/>
      </left>
      <right/>
      <top style="medium">
        <color theme="6" tint="0.39997558519241921"/>
      </top>
      <bottom style="medium">
        <color theme="6" tint="0.39997558519241921"/>
      </bottom>
      <diagonal/>
    </border>
    <border>
      <left style="medium">
        <color theme="0" tint="-0.14990691854609822"/>
      </left>
      <right/>
      <top style="medium">
        <color theme="0" tint="-0.14993743705557422"/>
      </top>
      <bottom style="thin">
        <color theme="0" tint="-0.14990691854609822"/>
      </bottom>
      <diagonal/>
    </border>
    <border>
      <left style="thin">
        <color indexed="64"/>
      </left>
      <right/>
      <top style="medium">
        <color theme="6" tint="0.59999389629810485"/>
      </top>
      <bottom style="thin">
        <color theme="6" tint="0.59999389629810485"/>
      </bottom>
      <diagonal/>
    </border>
    <border>
      <left/>
      <right style="thin">
        <color indexed="64"/>
      </right>
      <top style="medium">
        <color theme="6" tint="0.59999389629810485"/>
      </top>
      <bottom style="thin">
        <color theme="6" tint="0.59999389629810485"/>
      </bottom>
      <diagonal/>
    </border>
    <border>
      <left/>
      <right/>
      <top style="thin">
        <color theme="0" tint="-0.14996795556505021"/>
      </top>
      <bottom style="thin">
        <color theme="0" tint="-0.14996795556505021"/>
      </bottom>
      <diagonal/>
    </border>
    <border>
      <left/>
      <right/>
      <top style="medium">
        <color theme="0" tint="-0.14996795556505021"/>
      </top>
      <bottom style="thin">
        <color theme="0" tint="-0.14993743705557422"/>
      </bottom>
      <diagonal/>
    </border>
    <border>
      <left style="thin">
        <color indexed="64"/>
      </left>
      <right/>
      <top style="dotted">
        <color theme="0" tint="-0.14996795556505021"/>
      </top>
      <bottom style="dotted">
        <color theme="0" tint="-0.14993743705557422"/>
      </bottom>
      <diagonal/>
    </border>
    <border>
      <left style="thin">
        <color indexed="64"/>
      </left>
      <right/>
      <top style="dotted">
        <color theme="0" tint="-0.14993743705557422"/>
      </top>
      <bottom style="dotted">
        <color theme="0" tint="-0.14993743705557422"/>
      </bottom>
      <diagonal/>
    </border>
    <border>
      <left/>
      <right style="thin">
        <color indexed="64"/>
      </right>
      <top style="thin">
        <color theme="6" tint="-0.499984740745262"/>
      </top>
      <bottom/>
      <diagonal/>
    </border>
    <border>
      <left/>
      <right style="thin">
        <color indexed="64"/>
      </right>
      <top style="medium">
        <color theme="6" tint="0.39997558519241921"/>
      </top>
      <bottom style="medium">
        <color theme="6" tint="0.39997558519241921"/>
      </bottom>
      <diagonal/>
    </border>
    <border>
      <left/>
      <right style="thin">
        <color indexed="64"/>
      </right>
      <top style="dotted">
        <color theme="0" tint="-0.14996795556505021"/>
      </top>
      <bottom style="dotted">
        <color theme="0" tint="-0.14993743705557422"/>
      </bottom>
      <diagonal/>
    </border>
    <border>
      <left/>
      <right style="thin">
        <color indexed="64"/>
      </right>
      <top style="dotted">
        <color theme="0" tint="-0.14993743705557422"/>
      </top>
      <bottom style="dotted">
        <color theme="0" tint="-0.14993743705557422"/>
      </bottom>
      <diagonal/>
    </border>
    <border>
      <left style="medium">
        <color theme="0" tint="-0.14990691854609822"/>
      </left>
      <right/>
      <top style="dotted">
        <color theme="0" tint="-0.14993743705557422"/>
      </top>
      <bottom style="dotted">
        <color theme="0" tint="-0.14993743705557422"/>
      </bottom>
      <diagonal/>
    </border>
    <border>
      <left style="dotted">
        <color theme="0" tint="-0.14993743705557422"/>
      </left>
      <right style="dotted">
        <color theme="0" tint="-0.14993743705557422"/>
      </right>
      <top style="dotted">
        <color theme="0" tint="-0.14993743705557422"/>
      </top>
      <bottom style="dotted">
        <color theme="0" tint="-0.14993743705557422"/>
      </bottom>
      <diagonal/>
    </border>
    <border>
      <left/>
      <right style="thin">
        <color theme="1" tint="0.34998626667073579"/>
      </right>
      <top/>
      <bottom style="thin">
        <color indexed="64"/>
      </bottom>
      <diagonal/>
    </border>
    <border>
      <left/>
      <right/>
      <top style="dotted">
        <color theme="0" tint="-0.14993743705557422"/>
      </top>
      <bottom style="medium">
        <color theme="0" tint="-0.14993743705557422"/>
      </bottom>
      <diagonal/>
    </border>
  </borders>
  <cellStyleXfs count="4">
    <xf numFmtId="0" fontId="0" fillId="0" borderId="0"/>
    <xf numFmtId="178" fontId="4" fillId="0" borderId="0" applyFont="0" applyFill="0" applyBorder="0" applyAlignment="0" applyProtection="0"/>
    <xf numFmtId="177" fontId="4" fillId="0" borderId="0" applyFont="0" applyFill="0" applyBorder="0" applyAlignment="0" applyProtection="0"/>
    <xf numFmtId="9" fontId="4" fillId="0" borderId="0" applyFont="0" applyFill="0" applyBorder="0" applyAlignment="0" applyProtection="0"/>
  </cellStyleXfs>
  <cellXfs count="275">
    <xf numFmtId="0" fontId="0" fillId="0" borderId="0" xfId="0"/>
    <xf numFmtId="0" fontId="5" fillId="0" borderId="0" xfId="0" applyFont="1"/>
    <xf numFmtId="0" fontId="6" fillId="0" borderId="0" xfId="0" applyFont="1"/>
    <xf numFmtId="0" fontId="7" fillId="0" borderId="0" xfId="0" applyFont="1"/>
    <xf numFmtId="0" fontId="5" fillId="0" borderId="0" xfId="0" applyFont="1" applyAlignment="1">
      <alignment horizontal="center"/>
    </xf>
    <xf numFmtId="37" fontId="7" fillId="0" borderId="0" xfId="1" applyNumberFormat="1" applyFont="1" applyBorder="1" applyAlignment="1">
      <alignment horizontal="center"/>
    </xf>
    <xf numFmtId="0" fontId="5" fillId="0" borderId="0" xfId="0" applyFont="1" applyBorder="1"/>
    <xf numFmtId="0" fontId="8" fillId="0" borderId="0" xfId="0" applyFont="1"/>
    <xf numFmtId="0" fontId="5" fillId="0" borderId="0" xfId="0" applyFont="1" applyBorder="1" applyAlignment="1">
      <alignment horizontal="center"/>
    </xf>
    <xf numFmtId="0" fontId="5" fillId="2" borderId="10" xfId="0" applyFont="1" applyFill="1" applyBorder="1"/>
    <xf numFmtId="0" fontId="5" fillId="0" borderId="11" xfId="0" applyFont="1" applyBorder="1"/>
    <xf numFmtId="0" fontId="9" fillId="0" borderId="11" xfId="0" applyFont="1" applyBorder="1" applyAlignment="1">
      <alignment vertical="center"/>
    </xf>
    <xf numFmtId="0" fontId="5" fillId="0" borderId="11" xfId="0" applyFont="1" applyBorder="1" applyAlignment="1">
      <alignment horizontal="center"/>
    </xf>
    <xf numFmtId="0" fontId="8" fillId="0" borderId="11" xfId="0" applyFont="1" applyBorder="1"/>
    <xf numFmtId="0" fontId="5" fillId="0" borderId="12" xfId="0" applyFont="1" applyBorder="1"/>
    <xf numFmtId="3" fontId="9" fillId="2" borderId="13" xfId="0" applyNumberFormat="1" applyFont="1" applyFill="1" applyBorder="1" applyAlignment="1">
      <alignment horizontal="center" vertical="center"/>
    </xf>
    <xf numFmtId="0" fontId="5" fillId="0" borderId="14" xfId="0" applyFont="1" applyBorder="1"/>
    <xf numFmtId="37" fontId="9" fillId="2" borderId="13" xfId="0" applyNumberFormat="1" applyFont="1" applyFill="1" applyBorder="1" applyAlignment="1">
      <alignment horizontal="center" vertical="center"/>
    </xf>
    <xf numFmtId="0" fontId="5" fillId="0" borderId="0" xfId="0" applyFont="1" applyAlignment="1">
      <alignment vertical="center"/>
    </xf>
    <xf numFmtId="0" fontId="10" fillId="2" borderId="13" xfId="0" applyFont="1" applyFill="1" applyBorder="1" applyAlignment="1">
      <alignment vertical="center" wrapText="1"/>
    </xf>
    <xf numFmtId="0" fontId="5" fillId="0" borderId="14" xfId="0" applyFont="1" applyBorder="1" applyAlignment="1">
      <alignment vertical="center"/>
    </xf>
    <xf numFmtId="0" fontId="5" fillId="0" borderId="0" xfId="0" applyFont="1" applyFill="1" applyBorder="1"/>
    <xf numFmtId="37" fontId="9" fillId="0" borderId="0" xfId="0" applyNumberFormat="1" applyFont="1" applyBorder="1" applyAlignment="1">
      <alignment horizontal="center" vertical="center"/>
    </xf>
    <xf numFmtId="37" fontId="9" fillId="0" borderId="15" xfId="0" applyNumberFormat="1" applyFont="1" applyBorder="1" applyAlignment="1">
      <alignment horizontal="center" vertical="center"/>
    </xf>
    <xf numFmtId="179" fontId="9" fillId="0" borderId="15" xfId="0" applyNumberFormat="1" applyFont="1" applyBorder="1" applyAlignment="1">
      <alignment horizontal="center" vertical="center"/>
    </xf>
    <xf numFmtId="37" fontId="9" fillId="3" borderId="15" xfId="0" applyNumberFormat="1" applyFont="1" applyFill="1" applyBorder="1" applyAlignment="1">
      <alignment horizontal="center" vertical="center"/>
    </xf>
    <xf numFmtId="179" fontId="9" fillId="3" borderId="15" xfId="0" applyNumberFormat="1" applyFont="1" applyFill="1" applyBorder="1" applyAlignment="1">
      <alignment horizontal="center" vertical="center"/>
    </xf>
    <xf numFmtId="0" fontId="9" fillId="3" borderId="15" xfId="0" applyFont="1" applyFill="1" applyBorder="1" applyAlignment="1">
      <alignment vertical="center"/>
    </xf>
    <xf numFmtId="37" fontId="9" fillId="0" borderId="16" xfId="0" applyNumberFormat="1" applyFont="1" applyBorder="1" applyAlignment="1">
      <alignment horizontal="center" vertical="center"/>
    </xf>
    <xf numFmtId="179" fontId="9" fillId="0" borderId="16" xfId="0" applyNumberFormat="1" applyFont="1" applyBorder="1" applyAlignment="1">
      <alignment horizontal="center" vertical="center"/>
    </xf>
    <xf numFmtId="37" fontId="9" fillId="0" borderId="17" xfId="0" applyNumberFormat="1" applyFont="1" applyBorder="1" applyAlignment="1">
      <alignment horizontal="center" vertical="center"/>
    </xf>
    <xf numFmtId="179" fontId="9" fillId="0" borderId="17" xfId="0" applyNumberFormat="1" applyFont="1" applyBorder="1" applyAlignment="1">
      <alignment horizontal="center" vertical="center"/>
    </xf>
    <xf numFmtId="37" fontId="9" fillId="0" borderId="18" xfId="0" applyNumberFormat="1" applyFont="1" applyBorder="1" applyAlignment="1">
      <alignment horizontal="center" vertical="center"/>
    </xf>
    <xf numFmtId="179" fontId="9" fillId="0" borderId="18" xfId="0" applyNumberFormat="1" applyFont="1" applyBorder="1" applyAlignment="1">
      <alignment horizontal="center" vertical="center"/>
    </xf>
    <xf numFmtId="0" fontId="9" fillId="0" borderId="18" xfId="0" applyFont="1" applyBorder="1" applyAlignment="1">
      <alignment vertical="center"/>
    </xf>
    <xf numFmtId="3" fontId="10" fillId="2" borderId="13" xfId="0" applyNumberFormat="1" applyFont="1" applyFill="1" applyBorder="1" applyAlignment="1">
      <alignment horizontal="center" vertical="center"/>
    </xf>
    <xf numFmtId="3" fontId="10" fillId="3" borderId="19" xfId="0" quotePrefix="1" applyNumberFormat="1" applyFont="1" applyFill="1" applyBorder="1" applyAlignment="1">
      <alignment horizontal="center" vertical="center"/>
    </xf>
    <xf numFmtId="179" fontId="10" fillId="3" borderId="19" xfId="0" applyNumberFormat="1" applyFont="1" applyFill="1" applyBorder="1" applyAlignment="1">
      <alignment horizontal="center" vertical="center"/>
    </xf>
    <xf numFmtId="0" fontId="10" fillId="2" borderId="13" xfId="0" applyFont="1" applyFill="1" applyBorder="1" applyAlignment="1">
      <alignment horizontal="center" vertical="center" wrapText="1"/>
    </xf>
    <xf numFmtId="0" fontId="5" fillId="4" borderId="0" xfId="0" applyFont="1" applyFill="1" applyBorder="1"/>
    <xf numFmtId="0" fontId="5" fillId="4" borderId="0" xfId="0" applyFont="1" applyFill="1" applyBorder="1" applyAlignment="1">
      <alignment horizontal="center"/>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0" borderId="20" xfId="0" applyFont="1" applyBorder="1" applyAlignment="1">
      <alignment horizontal="center" vertical="center" wrapText="1"/>
    </xf>
    <xf numFmtId="0" fontId="10" fillId="0" borderId="0" xfId="0" applyFont="1" applyBorder="1" applyAlignment="1">
      <alignment horizontal="left" vertical="center"/>
    </xf>
    <xf numFmtId="9" fontId="11" fillId="2" borderId="13" xfId="3" applyFont="1" applyFill="1" applyBorder="1" applyAlignment="1">
      <alignment horizontal="center"/>
    </xf>
    <xf numFmtId="9" fontId="11" fillId="2" borderId="15" xfId="3" applyFont="1" applyFill="1" applyBorder="1" applyAlignment="1">
      <alignment horizontal="center"/>
    </xf>
    <xf numFmtId="9" fontId="9" fillId="3" borderId="15" xfId="3" applyFont="1" applyFill="1" applyBorder="1" applyAlignment="1">
      <alignment horizontal="center"/>
    </xf>
    <xf numFmtId="9" fontId="12" fillId="2" borderId="13" xfId="3" applyFont="1" applyFill="1" applyBorder="1" applyAlignment="1">
      <alignment horizontal="center"/>
    </xf>
    <xf numFmtId="9" fontId="12" fillId="0" borderId="21" xfId="3" applyFont="1" applyBorder="1" applyAlignment="1">
      <alignment horizontal="center"/>
    </xf>
    <xf numFmtId="9" fontId="9" fillId="0" borderId="21" xfId="3" applyFont="1" applyBorder="1" applyAlignment="1">
      <alignment horizontal="center"/>
    </xf>
    <xf numFmtId="9" fontId="9" fillId="0" borderId="22" xfId="3" applyFont="1" applyBorder="1" applyAlignment="1">
      <alignment horizontal="center"/>
    </xf>
    <xf numFmtId="0" fontId="10" fillId="0" borderId="17" xfId="0" applyFont="1" applyBorder="1" applyAlignment="1">
      <alignment horizontal="left"/>
    </xf>
    <xf numFmtId="9" fontId="11" fillId="3" borderId="15" xfId="3" applyFont="1" applyFill="1" applyBorder="1" applyAlignment="1">
      <alignment horizontal="center"/>
    </xf>
    <xf numFmtId="0" fontId="9" fillId="3" borderId="23" xfId="0" applyFont="1" applyFill="1" applyBorder="1"/>
    <xf numFmtId="0" fontId="10" fillId="0" borderId="24" xfId="0" applyFont="1" applyBorder="1" applyAlignment="1">
      <alignment horizontal="center" vertical="center" wrapText="1"/>
    </xf>
    <xf numFmtId="0" fontId="10" fillId="0" borderId="24" xfId="0" applyFont="1" applyBorder="1" applyAlignment="1">
      <alignment vertical="center" wrapText="1"/>
    </xf>
    <xf numFmtId="9" fontId="11" fillId="2" borderId="13" xfId="3" applyFont="1" applyFill="1" applyBorder="1" applyAlignment="1"/>
    <xf numFmtId="9" fontId="11" fillId="3" borderId="15" xfId="3" applyFont="1" applyFill="1" applyBorder="1" applyAlignment="1"/>
    <xf numFmtId="0" fontId="9" fillId="3" borderId="15" xfId="0" applyFont="1" applyFill="1" applyBorder="1"/>
    <xf numFmtId="9" fontId="12" fillId="2" borderId="13" xfId="3" applyFont="1" applyFill="1" applyBorder="1" applyAlignment="1"/>
    <xf numFmtId="9" fontId="12" fillId="0" borderId="25" xfId="3" applyFont="1" applyBorder="1" applyAlignment="1"/>
    <xf numFmtId="0" fontId="9" fillId="0" borderId="21" xfId="0" applyFont="1" applyBorder="1"/>
    <xf numFmtId="0" fontId="5" fillId="0" borderId="13" xfId="0" applyFont="1" applyBorder="1"/>
    <xf numFmtId="0" fontId="13" fillId="0" borderId="0" xfId="0" applyFont="1" applyBorder="1" applyAlignment="1">
      <alignment horizontal="center"/>
    </xf>
    <xf numFmtId="0" fontId="0" fillId="0" borderId="0" xfId="0" applyFont="1"/>
    <xf numFmtId="0" fontId="9" fillId="0" borderId="0" xfId="0" applyFont="1" applyBorder="1" applyAlignment="1">
      <alignment vertical="center" wrapText="1"/>
    </xf>
    <xf numFmtId="0" fontId="5" fillId="0" borderId="0" xfId="0" applyFont="1" applyBorder="1" applyAlignment="1">
      <alignment vertical="top"/>
    </xf>
    <xf numFmtId="0" fontId="6" fillId="0" borderId="0" xfId="0" applyFont="1" applyBorder="1"/>
    <xf numFmtId="16" fontId="14" fillId="0" borderId="0" xfId="0" applyNumberFormat="1" applyFont="1" applyBorder="1" applyAlignment="1">
      <alignment horizontal="left"/>
    </xf>
    <xf numFmtId="0" fontId="15" fillId="5" borderId="13" xfId="0" applyFont="1" applyFill="1" applyBorder="1" applyAlignment="1">
      <alignment horizontal="center" vertical="center"/>
    </xf>
    <xf numFmtId="0" fontId="15" fillId="5" borderId="0" xfId="0" applyFont="1" applyFill="1" applyBorder="1" applyAlignment="1">
      <alignment vertical="center"/>
    </xf>
    <xf numFmtId="0" fontId="15" fillId="5" borderId="14" xfId="0" applyFont="1" applyFill="1" applyBorder="1" applyAlignment="1">
      <alignment vertical="center"/>
    </xf>
    <xf numFmtId="0" fontId="16" fillId="5" borderId="0" xfId="0" applyFont="1" applyFill="1" applyBorder="1" applyAlignment="1">
      <alignment horizontal="right" vertical="center"/>
    </xf>
    <xf numFmtId="0" fontId="15" fillId="5" borderId="26" xfId="0" applyFont="1" applyFill="1" applyBorder="1" applyAlignment="1">
      <alignment horizontal="center" vertical="center"/>
    </xf>
    <xf numFmtId="0" fontId="16" fillId="5" borderId="1" xfId="0" applyFont="1" applyFill="1" applyBorder="1" applyAlignment="1">
      <alignment horizontal="right" vertical="center"/>
    </xf>
    <xf numFmtId="0" fontId="15" fillId="5" borderId="27" xfId="0" applyFont="1" applyFill="1" applyBorder="1" applyAlignment="1">
      <alignment vertical="center"/>
    </xf>
    <xf numFmtId="0" fontId="17" fillId="5" borderId="1" xfId="0" applyFont="1" applyFill="1" applyBorder="1" applyAlignment="1">
      <alignment vertical="top"/>
    </xf>
    <xf numFmtId="0" fontId="15" fillId="5" borderId="28" xfId="0" applyFont="1" applyFill="1" applyBorder="1" applyAlignment="1">
      <alignment vertical="center"/>
    </xf>
    <xf numFmtId="0" fontId="18" fillId="0" borderId="0" xfId="0" applyFont="1"/>
    <xf numFmtId="0" fontId="0" fillId="0" borderId="0" xfId="0" applyBorder="1"/>
    <xf numFmtId="0" fontId="17" fillId="5" borderId="0" xfId="0" applyFont="1" applyFill="1" applyBorder="1" applyAlignment="1">
      <alignment vertical="center"/>
    </xf>
    <xf numFmtId="0" fontId="16" fillId="5" borderId="0" xfId="0" applyFont="1" applyFill="1" applyBorder="1" applyAlignment="1">
      <alignment vertical="center"/>
    </xf>
    <xf numFmtId="0" fontId="16" fillId="5" borderId="0" xfId="0" applyFont="1" applyFill="1" applyBorder="1" applyAlignment="1">
      <alignment vertical="top"/>
    </xf>
    <xf numFmtId="0" fontId="10" fillId="0" borderId="29" xfId="0" applyFont="1" applyBorder="1" applyAlignment="1">
      <alignment horizontal="left" vertical="top"/>
    </xf>
    <xf numFmtId="0" fontId="19" fillId="6" borderId="29" xfId="0" applyFont="1" applyFill="1" applyBorder="1" applyAlignment="1">
      <alignment horizontal="center" vertical="top" wrapText="1"/>
    </xf>
    <xf numFmtId="0" fontId="19" fillId="7" borderId="29" xfId="0" applyFont="1" applyFill="1" applyBorder="1" applyAlignment="1">
      <alignment horizontal="center" vertical="top" wrapText="1"/>
    </xf>
    <xf numFmtId="0" fontId="10" fillId="0" borderId="29" xfId="0" applyFont="1" applyBorder="1" applyAlignment="1">
      <alignment horizontal="center" vertical="top" wrapText="1"/>
    </xf>
    <xf numFmtId="0" fontId="0" fillId="2" borderId="0" xfId="0" applyFill="1"/>
    <xf numFmtId="0" fontId="17" fillId="2" borderId="0" xfId="0" applyFont="1" applyFill="1" applyBorder="1" applyAlignment="1">
      <alignment vertical="center"/>
    </xf>
    <xf numFmtId="0" fontId="16" fillId="2" borderId="0" xfId="0" applyFont="1" applyFill="1" applyBorder="1" applyAlignment="1">
      <alignment horizontal="center" vertical="top"/>
    </xf>
    <xf numFmtId="0" fontId="16" fillId="2" borderId="0" xfId="0" applyFont="1" applyFill="1" applyBorder="1" applyAlignment="1">
      <alignment vertical="top"/>
    </xf>
    <xf numFmtId="0" fontId="16" fillId="2" borderId="0" xfId="0" applyFont="1" applyFill="1" applyBorder="1" applyAlignment="1">
      <alignment vertical="center"/>
    </xf>
    <xf numFmtId="0" fontId="16" fillId="5" borderId="32" xfId="0" applyFont="1" applyFill="1" applyBorder="1" applyAlignment="1">
      <alignment horizontal="left" vertical="center"/>
    </xf>
    <xf numFmtId="0" fontId="16" fillId="2" borderId="32" xfId="0" applyFont="1" applyFill="1" applyBorder="1" applyAlignment="1">
      <alignment horizontal="left" vertical="center"/>
    </xf>
    <xf numFmtId="0" fontId="10" fillId="0" borderId="33" xfId="0" applyFont="1" applyBorder="1" applyAlignment="1">
      <alignment horizontal="left" vertical="top"/>
    </xf>
    <xf numFmtId="0" fontId="19" fillId="6" borderId="33" xfId="0" applyFont="1" applyFill="1" applyBorder="1" applyAlignment="1">
      <alignment horizontal="center" vertical="top" wrapText="1"/>
    </xf>
    <xf numFmtId="0" fontId="19" fillId="7" borderId="33" xfId="0" applyFont="1" applyFill="1" applyBorder="1" applyAlignment="1">
      <alignment horizontal="center" vertical="top" wrapText="1"/>
    </xf>
    <xf numFmtId="0" fontId="10" fillId="0" borderId="33" xfId="0" applyFont="1" applyBorder="1" applyAlignment="1">
      <alignment horizontal="center" vertical="top" wrapText="1"/>
    </xf>
    <xf numFmtId="0" fontId="10" fillId="0" borderId="34" xfId="0" applyFont="1" applyBorder="1" applyAlignment="1">
      <alignment horizontal="left" vertical="top"/>
    </xf>
    <xf numFmtId="0" fontId="0" fillId="2" borderId="0" xfId="0" applyFill="1" applyBorder="1"/>
    <xf numFmtId="0" fontId="19" fillId="5" borderId="1" xfId="0" applyFont="1" applyFill="1" applyBorder="1" applyAlignment="1">
      <alignment vertical="center"/>
    </xf>
    <xf numFmtId="0" fontId="15" fillId="5" borderId="2" xfId="0" applyFont="1" applyFill="1" applyBorder="1" applyAlignment="1">
      <alignment horizontal="center" vertical="center"/>
    </xf>
    <xf numFmtId="0" fontId="15" fillId="5" borderId="0" xfId="0" applyFont="1" applyFill="1" applyBorder="1" applyAlignment="1">
      <alignment horizontal="centerContinuous" vertical="center"/>
    </xf>
    <xf numFmtId="0" fontId="15" fillId="5" borderId="3" xfId="0" applyFont="1" applyFill="1" applyBorder="1" applyAlignment="1">
      <alignment horizontal="centerContinuous" vertical="center"/>
    </xf>
    <xf numFmtId="0" fontId="15" fillId="5" borderId="3" xfId="0" applyFont="1" applyFill="1" applyBorder="1" applyAlignment="1">
      <alignment horizontal="center" vertical="center"/>
    </xf>
    <xf numFmtId="0" fontId="15" fillId="5" borderId="4" xfId="0" applyFont="1" applyFill="1" applyBorder="1" applyAlignment="1">
      <alignment vertical="center"/>
    </xf>
    <xf numFmtId="0" fontId="15" fillId="5" borderId="5" xfId="0" applyFont="1" applyFill="1" applyBorder="1" applyAlignment="1">
      <alignment horizontal="center" vertical="center"/>
    </xf>
    <xf numFmtId="0" fontId="0" fillId="0" borderId="0" xfId="0" applyFont="1" applyBorder="1" applyAlignment="1"/>
    <xf numFmtId="37" fontId="5" fillId="0" borderId="0" xfId="1" applyNumberFormat="1" applyFont="1" applyBorder="1" applyAlignment="1">
      <alignment horizontal="center"/>
    </xf>
    <xf numFmtId="176" fontId="5" fillId="0" borderId="0" xfId="2" applyNumberFormat="1" applyFont="1" applyBorder="1" applyAlignment="1">
      <alignment horizontal="center"/>
    </xf>
    <xf numFmtId="0" fontId="10" fillId="0" borderId="24" xfId="0" applyFont="1" applyBorder="1" applyAlignment="1">
      <alignment horizontal="left" vertical="top"/>
    </xf>
    <xf numFmtId="0" fontId="10" fillId="0" borderId="24" xfId="0" applyFont="1" applyBorder="1" applyAlignment="1">
      <alignment horizontal="center" vertical="top" wrapText="1"/>
    </xf>
    <xf numFmtId="0" fontId="10" fillId="0" borderId="35" xfId="0" applyFont="1" applyBorder="1" applyAlignment="1">
      <alignment horizontal="center" vertical="top" wrapText="1"/>
    </xf>
    <xf numFmtId="0" fontId="10" fillId="0" borderId="24" xfId="0" applyFont="1" applyBorder="1" applyAlignment="1">
      <alignment horizontal="center" vertical="top"/>
    </xf>
    <xf numFmtId="0" fontId="10" fillId="0" borderId="24" xfId="0" applyFont="1" applyBorder="1" applyAlignment="1">
      <alignment vertical="top" wrapText="1"/>
    </xf>
    <xf numFmtId="0" fontId="16" fillId="5" borderId="6" xfId="0" applyFont="1" applyFill="1" applyBorder="1" applyAlignment="1">
      <alignment horizontal="left" vertical="center"/>
    </xf>
    <xf numFmtId="0" fontId="17" fillId="5" borderId="1" xfId="0" applyFont="1" applyFill="1" applyBorder="1" applyAlignment="1">
      <alignment vertical="center"/>
    </xf>
    <xf numFmtId="0" fontId="17" fillId="5" borderId="2" xfId="0" applyFont="1" applyFill="1" applyBorder="1" applyAlignment="1">
      <alignment vertical="center"/>
    </xf>
    <xf numFmtId="0" fontId="16" fillId="5" borderId="7" xfId="0" applyFont="1" applyFill="1" applyBorder="1" applyAlignment="1">
      <alignment horizontal="left" vertical="center"/>
    </xf>
    <xf numFmtId="0" fontId="17" fillId="5" borderId="3" xfId="0" applyFont="1" applyFill="1" applyBorder="1" applyAlignment="1">
      <alignment vertical="center"/>
    </xf>
    <xf numFmtId="0" fontId="0" fillId="2" borderId="7" xfId="0" applyFill="1" applyBorder="1"/>
    <xf numFmtId="0" fontId="17" fillId="2" borderId="3" xfId="0" applyFont="1" applyFill="1" applyBorder="1" applyAlignment="1">
      <alignment vertical="center"/>
    </xf>
    <xf numFmtId="0" fontId="0" fillId="0" borderId="3" xfId="0" applyBorder="1"/>
    <xf numFmtId="0" fontId="0" fillId="0" borderId="7" xfId="0" applyBorder="1"/>
    <xf numFmtId="0" fontId="10" fillId="0" borderId="36" xfId="0" applyFont="1" applyBorder="1" applyAlignment="1">
      <alignment horizontal="left" vertical="top"/>
    </xf>
    <xf numFmtId="0" fontId="10" fillId="0" borderId="37" xfId="0" applyFont="1" applyBorder="1" applyAlignment="1">
      <alignment horizontal="center" vertical="top" wrapText="1"/>
    </xf>
    <xf numFmtId="0" fontId="20" fillId="0" borderId="0" xfId="0" applyFont="1" applyBorder="1"/>
    <xf numFmtId="0" fontId="0" fillId="8" borderId="0" xfId="0" applyFill="1"/>
    <xf numFmtId="0" fontId="5" fillId="0" borderId="0" xfId="0" applyFont="1" applyFill="1" applyAlignment="1">
      <alignment vertical="top"/>
    </xf>
    <xf numFmtId="0" fontId="18" fillId="0" borderId="38" xfId="0" applyFont="1" applyFill="1" applyBorder="1" applyAlignment="1">
      <alignment vertical="top"/>
    </xf>
    <xf numFmtId="0" fontId="5" fillId="4" borderId="0" xfId="0" applyFont="1" applyFill="1" applyBorder="1" applyAlignment="1">
      <alignment vertical="top"/>
    </xf>
    <xf numFmtId="0" fontId="9" fillId="4" borderId="0" xfId="0" applyFont="1" applyFill="1" applyBorder="1" applyAlignment="1">
      <alignment vertical="center" wrapText="1"/>
    </xf>
    <xf numFmtId="0" fontId="5" fillId="0" borderId="14" xfId="0" applyFont="1" applyFill="1" applyBorder="1"/>
    <xf numFmtId="0" fontId="5" fillId="0" borderId="13" xfId="0" applyFont="1" applyFill="1" applyBorder="1"/>
    <xf numFmtId="0" fontId="13" fillId="4" borderId="0" xfId="0" applyFont="1" applyFill="1" applyBorder="1"/>
    <xf numFmtId="0" fontId="21" fillId="4" borderId="0" xfId="0" applyFont="1" applyFill="1" applyBorder="1" applyAlignment="1"/>
    <xf numFmtId="0" fontId="13" fillId="4" borderId="0" xfId="0" applyFont="1" applyFill="1" applyBorder="1" applyAlignment="1">
      <alignment horizontal="center"/>
    </xf>
    <xf numFmtId="0" fontId="14" fillId="4" borderId="0" xfId="0" applyFont="1" applyFill="1" applyBorder="1" applyAlignment="1">
      <alignment horizontal="left" vertical="center"/>
    </xf>
    <xf numFmtId="0" fontId="13" fillId="0" borderId="0" xfId="0" applyFont="1" applyFill="1" applyBorder="1"/>
    <xf numFmtId="0" fontId="21" fillId="0" borderId="0" xfId="0" applyFont="1" applyFill="1" applyBorder="1" applyAlignment="1"/>
    <xf numFmtId="0" fontId="5" fillId="0" borderId="0" xfId="0" applyFont="1" applyFill="1" applyBorder="1" applyAlignment="1">
      <alignment horizontal="center"/>
    </xf>
    <xf numFmtId="0" fontId="13" fillId="0" borderId="0" xfId="0" applyFont="1" applyFill="1" applyBorder="1" applyAlignment="1">
      <alignment horizontal="center"/>
    </xf>
    <xf numFmtId="0" fontId="14" fillId="0" borderId="0" xfId="0" applyFont="1" applyFill="1" applyBorder="1" applyAlignment="1">
      <alignment horizontal="left" vertical="center"/>
    </xf>
    <xf numFmtId="9" fontId="12" fillId="0" borderId="0" xfId="3" applyFont="1" applyBorder="1" applyAlignment="1">
      <alignment horizontal="center"/>
    </xf>
    <xf numFmtId="9" fontId="9" fillId="0" borderId="0" xfId="3" applyFont="1" applyFill="1" applyBorder="1" applyAlignment="1">
      <alignment horizontal="center"/>
    </xf>
    <xf numFmtId="0" fontId="22" fillId="0" borderId="0" xfId="0" applyFont="1"/>
    <xf numFmtId="0" fontId="10" fillId="3" borderId="23" xfId="0" applyFont="1" applyFill="1" applyBorder="1" applyAlignment="1">
      <alignment horizontal="left"/>
    </xf>
    <xf numFmtId="0" fontId="10" fillId="3" borderId="19" xfId="0" quotePrefix="1" applyNumberFormat="1" applyFont="1" applyFill="1" applyBorder="1" applyAlignment="1">
      <alignment horizontal="left" vertical="center"/>
    </xf>
    <xf numFmtId="0" fontId="9" fillId="3" borderId="15" xfId="0" applyNumberFormat="1" applyFont="1" applyFill="1" applyBorder="1" applyAlignment="1">
      <alignment horizontal="center" vertical="center"/>
    </xf>
    <xf numFmtId="0" fontId="9" fillId="0" borderId="16" xfId="0" applyNumberFormat="1" applyFont="1" applyBorder="1" applyAlignment="1">
      <alignment horizontal="center" vertical="center"/>
    </xf>
    <xf numFmtId="0" fontId="10" fillId="0" borderId="24" xfId="0" applyFont="1" applyBorder="1" applyAlignment="1">
      <alignment horizontal="left" vertical="top"/>
    </xf>
    <xf numFmtId="0" fontId="10" fillId="0" borderId="39" xfId="0" applyFont="1" applyBorder="1" applyAlignment="1">
      <alignment vertical="top"/>
    </xf>
    <xf numFmtId="0" fontId="10" fillId="0" borderId="39" xfId="0" applyFont="1" applyBorder="1" applyAlignment="1">
      <alignment horizontal="center" vertical="top" wrapText="1"/>
    </xf>
    <xf numFmtId="0" fontId="19" fillId="6" borderId="39" xfId="0" applyFont="1" applyFill="1" applyBorder="1" applyAlignment="1">
      <alignment horizontal="center" vertical="top" wrapText="1"/>
    </xf>
    <xf numFmtId="0" fontId="19" fillId="7" borderId="39" xfId="0" applyFont="1" applyFill="1" applyBorder="1" applyAlignment="1">
      <alignment horizontal="center" vertical="top" wrapText="1"/>
    </xf>
    <xf numFmtId="0" fontId="9" fillId="0" borderId="15" xfId="0" applyNumberFormat="1" applyFont="1" applyBorder="1" applyAlignment="1">
      <alignment horizontal="center" vertical="center"/>
    </xf>
    <xf numFmtId="0" fontId="10" fillId="3" borderId="19" xfId="0" applyNumberFormat="1" applyFont="1" applyFill="1" applyBorder="1" applyAlignment="1">
      <alignment horizontal="center" vertical="center"/>
    </xf>
    <xf numFmtId="0" fontId="10" fillId="0" borderId="17" xfId="0" applyFont="1" applyBorder="1" applyAlignment="1">
      <alignment vertical="center"/>
    </xf>
    <xf numFmtId="0" fontId="0" fillId="0" borderId="4" xfId="0" applyBorder="1"/>
    <xf numFmtId="0" fontId="0" fillId="0" borderId="5" xfId="0" applyBorder="1"/>
    <xf numFmtId="0" fontId="0" fillId="0" borderId="8" xfId="0" applyBorder="1"/>
    <xf numFmtId="0" fontId="9" fillId="0" borderId="16" xfId="0" applyFont="1" applyBorder="1" applyAlignment="1">
      <alignment horizontal="left" vertical="center"/>
    </xf>
    <xf numFmtId="0" fontId="9" fillId="3" borderId="15" xfId="0" applyFont="1" applyFill="1" applyBorder="1" applyAlignment="1">
      <alignment horizontal="left" vertical="center"/>
    </xf>
    <xf numFmtId="0" fontId="9" fillId="0" borderId="15" xfId="0" applyFont="1" applyBorder="1" applyAlignment="1">
      <alignment horizontal="left" vertical="center"/>
    </xf>
    <xf numFmtId="0" fontId="9" fillId="0" borderId="40" xfId="0" applyFont="1" applyBorder="1" applyAlignment="1">
      <alignment horizontal="left" vertical="center"/>
    </xf>
    <xf numFmtId="0" fontId="9" fillId="3" borderId="41" xfId="0" applyFont="1" applyFill="1" applyBorder="1" applyAlignment="1">
      <alignment horizontal="left" vertical="center"/>
    </xf>
    <xf numFmtId="0" fontId="9" fillId="0" borderId="41" xfId="0" applyFont="1" applyBorder="1" applyAlignment="1">
      <alignment horizontal="left" vertical="center"/>
    </xf>
    <xf numFmtId="0" fontId="17" fillId="5" borderId="0" xfId="0" applyFont="1" applyFill="1" applyBorder="1" applyAlignment="1">
      <alignment horizontal="center" vertical="center"/>
    </xf>
    <xf numFmtId="0" fontId="10" fillId="0" borderId="43" xfId="0" applyFont="1" applyBorder="1" applyAlignment="1">
      <alignment horizontal="center" vertical="top" wrapText="1"/>
    </xf>
    <xf numFmtId="0" fontId="23" fillId="0" borderId="0" xfId="0" applyFont="1" applyBorder="1"/>
    <xf numFmtId="0" fontId="9" fillId="0" borderId="44" xfId="0" applyFont="1" applyBorder="1" applyAlignment="1">
      <alignment horizontal="center" vertical="center"/>
    </xf>
    <xf numFmtId="0" fontId="9" fillId="3" borderId="45" xfId="0" applyFont="1" applyFill="1" applyBorder="1" applyAlignment="1">
      <alignment horizontal="center" vertical="center"/>
    </xf>
    <xf numFmtId="0" fontId="9" fillId="0" borderId="45" xfId="0" applyFont="1" applyBorder="1" applyAlignment="1">
      <alignment horizontal="center" vertical="center"/>
    </xf>
    <xf numFmtId="0" fontId="16" fillId="5" borderId="0" xfId="0" applyFont="1" applyFill="1" applyBorder="1" applyAlignment="1">
      <alignment horizontal="left" vertical="center"/>
    </xf>
    <xf numFmtId="0" fontId="0" fillId="0" borderId="9" xfId="0" applyBorder="1"/>
    <xf numFmtId="0" fontId="18" fillId="0" borderId="9" xfId="0" applyFont="1" applyBorder="1"/>
    <xf numFmtId="0" fontId="18" fillId="0" borderId="0" xfId="0" applyFont="1" applyBorder="1"/>
    <xf numFmtId="0" fontId="0" fillId="2" borderId="3" xfId="0" applyFill="1" applyBorder="1"/>
    <xf numFmtId="0" fontId="19" fillId="5" borderId="6" xfId="0" applyFont="1" applyFill="1" applyBorder="1"/>
    <xf numFmtId="0" fontId="24" fillId="5" borderId="1" xfId="0" applyFont="1" applyFill="1" applyBorder="1"/>
    <xf numFmtId="0" fontId="19" fillId="5" borderId="2" xfId="0" applyFont="1" applyFill="1" applyBorder="1"/>
    <xf numFmtId="0" fontId="25" fillId="0" borderId="7" xfId="0" applyFont="1" applyBorder="1"/>
    <xf numFmtId="0" fontId="25" fillId="0" borderId="0" xfId="0" applyFont="1" applyBorder="1"/>
    <xf numFmtId="0" fontId="26" fillId="0" borderId="3" xfId="0" applyFont="1" applyBorder="1"/>
    <xf numFmtId="0" fontId="26" fillId="0" borderId="0" xfId="0" applyFont="1" applyBorder="1"/>
    <xf numFmtId="0" fontId="18" fillId="0" borderId="4" xfId="0" applyFont="1" applyBorder="1"/>
    <xf numFmtId="0" fontId="0" fillId="2" borderId="5" xfId="0" applyFill="1" applyBorder="1"/>
    <xf numFmtId="0" fontId="25" fillId="0" borderId="0" xfId="0" applyFont="1" applyFill="1" applyBorder="1"/>
    <xf numFmtId="181" fontId="9" fillId="0" borderId="16" xfId="3" applyNumberFormat="1" applyFont="1" applyBorder="1" applyAlignment="1">
      <alignment horizontal="center" vertical="center"/>
    </xf>
    <xf numFmtId="181" fontId="9" fillId="3" borderId="15" xfId="3" applyNumberFormat="1" applyFont="1" applyFill="1" applyBorder="1" applyAlignment="1">
      <alignment horizontal="center" vertical="center"/>
    </xf>
    <xf numFmtId="1" fontId="9" fillId="0" borderId="16" xfId="0" applyNumberFormat="1" applyFont="1" applyBorder="1" applyAlignment="1">
      <alignment horizontal="center" vertical="center"/>
    </xf>
    <xf numFmtId="1" fontId="9" fillId="3" borderId="15" xfId="0" applyNumberFormat="1" applyFont="1" applyFill="1" applyBorder="1" applyAlignment="1">
      <alignment horizontal="center" vertical="center"/>
    </xf>
    <xf numFmtId="1" fontId="9" fillId="0" borderId="15" xfId="0" applyNumberFormat="1" applyFont="1" applyBorder="1" applyAlignment="1">
      <alignment horizontal="center" vertical="center"/>
    </xf>
    <xf numFmtId="0" fontId="25" fillId="0" borderId="9" xfId="0" applyFont="1" applyBorder="1" applyAlignment="1">
      <alignment horizontal="left" vertical="top"/>
    </xf>
    <xf numFmtId="180" fontId="25" fillId="0" borderId="9" xfId="0" applyNumberFormat="1" applyFont="1" applyBorder="1" applyAlignment="1">
      <alignment horizontal="center" vertical="top" textRotation="90"/>
    </xf>
    <xf numFmtId="0" fontId="26" fillId="0" borderId="9" xfId="0" applyFont="1" applyBorder="1" applyAlignment="1">
      <alignment horizontal="center" vertical="top"/>
    </xf>
    <xf numFmtId="0" fontId="25" fillId="0" borderId="9" xfId="0" applyFont="1" applyBorder="1" applyAlignment="1">
      <alignment horizontal="left" vertical="center"/>
    </xf>
    <xf numFmtId="0" fontId="26" fillId="0" borderId="9" xfId="0" applyFont="1" applyBorder="1" applyAlignment="1">
      <alignment horizontal="left" vertical="center"/>
    </xf>
    <xf numFmtId="3" fontId="25" fillId="0" borderId="9" xfId="0" applyNumberFormat="1" applyFont="1" applyBorder="1" applyAlignment="1">
      <alignment horizontal="center" vertical="center"/>
    </xf>
    <xf numFmtId="3" fontId="26" fillId="0" borderId="9" xfId="0" applyNumberFormat="1" applyFont="1" applyBorder="1" applyAlignment="1">
      <alignment horizontal="center" vertical="center"/>
    </xf>
    <xf numFmtId="181" fontId="10" fillId="3" borderId="15" xfId="3" applyNumberFormat="1" applyFont="1" applyFill="1" applyBorder="1" applyAlignment="1">
      <alignment horizontal="center" vertical="center"/>
    </xf>
    <xf numFmtId="181" fontId="10" fillId="3" borderId="46" xfId="3" applyNumberFormat="1" applyFont="1" applyFill="1" applyBorder="1" applyAlignment="1">
      <alignment horizontal="center" vertical="center"/>
    </xf>
    <xf numFmtId="181" fontId="9" fillId="2" borderId="15" xfId="3" applyNumberFormat="1" applyFont="1" applyFill="1" applyBorder="1" applyAlignment="1">
      <alignment horizontal="center" vertical="center"/>
    </xf>
    <xf numFmtId="181" fontId="9" fillId="2" borderId="46" xfId="3" applyNumberFormat="1" applyFont="1" applyFill="1" applyBorder="1" applyAlignment="1">
      <alignment horizontal="center" vertical="center"/>
    </xf>
    <xf numFmtId="181" fontId="9" fillId="3" borderId="46" xfId="3" applyNumberFormat="1" applyFont="1" applyFill="1" applyBorder="1" applyAlignment="1">
      <alignment horizontal="center" vertical="center"/>
    </xf>
    <xf numFmtId="3" fontId="9" fillId="0" borderId="21" xfId="1" applyNumberFormat="1" applyFont="1" applyBorder="1" applyAlignment="1">
      <alignment horizontal="center" vertical="center"/>
    </xf>
    <xf numFmtId="3" fontId="9" fillId="0" borderId="21" xfId="0" applyNumberFormat="1" applyFont="1" applyBorder="1" applyAlignment="1">
      <alignment horizontal="center" vertical="center"/>
    </xf>
    <xf numFmtId="3" fontId="9" fillId="3" borderId="15" xfId="1" applyNumberFormat="1" applyFont="1" applyFill="1" applyBorder="1" applyAlignment="1">
      <alignment horizontal="center" vertical="center"/>
    </xf>
    <xf numFmtId="3" fontId="9" fillId="3" borderId="15" xfId="0" applyNumberFormat="1" applyFont="1" applyFill="1" applyBorder="1" applyAlignment="1">
      <alignment horizontal="center" vertical="center"/>
    </xf>
    <xf numFmtId="0" fontId="10" fillId="0" borderId="17" xfId="0" applyFont="1" applyBorder="1" applyAlignment="1">
      <alignment horizontal="left" vertical="top"/>
    </xf>
    <xf numFmtId="0" fontId="9" fillId="2" borderId="23" xfId="0" applyFont="1" applyFill="1" applyBorder="1" applyAlignment="1">
      <alignment horizontal="left" vertical="center"/>
    </xf>
    <xf numFmtId="0" fontId="9" fillId="2" borderId="23" xfId="0" applyFont="1" applyFill="1" applyBorder="1" applyAlignment="1">
      <alignment vertical="center"/>
    </xf>
    <xf numFmtId="0" fontId="9" fillId="3" borderId="23" xfId="0" applyFont="1" applyFill="1" applyBorder="1" applyAlignment="1">
      <alignment horizontal="left" vertical="center"/>
    </xf>
    <xf numFmtId="0" fontId="9" fillId="3" borderId="23" xfId="0" applyFont="1" applyFill="1" applyBorder="1" applyAlignment="1">
      <alignment vertical="center"/>
    </xf>
    <xf numFmtId="0" fontId="9" fillId="3" borderId="47" xfId="0" applyFont="1" applyFill="1" applyBorder="1" applyAlignment="1">
      <alignment horizontal="left" vertical="center"/>
    </xf>
    <xf numFmtId="0" fontId="5" fillId="0" borderId="7" xfId="0" applyFont="1" applyBorder="1" applyAlignment="1">
      <alignment vertical="top"/>
    </xf>
    <xf numFmtId="0" fontId="5" fillId="2" borderId="0" xfId="0" applyFont="1" applyFill="1" applyBorder="1"/>
    <xf numFmtId="0" fontId="15" fillId="5" borderId="1" xfId="0" applyFont="1" applyFill="1" applyBorder="1" applyAlignment="1">
      <alignment horizontal="center" vertical="center"/>
    </xf>
    <xf numFmtId="0" fontId="15" fillId="5" borderId="0" xfId="0" applyFont="1" applyFill="1" applyBorder="1" applyAlignment="1">
      <alignment horizontal="center" vertical="center"/>
    </xf>
    <xf numFmtId="0" fontId="15" fillId="5" borderId="4" xfId="0" applyFont="1" applyFill="1" applyBorder="1" applyAlignment="1">
      <alignment horizontal="center" vertical="center"/>
    </xf>
    <xf numFmtId="0" fontId="5" fillId="2" borderId="7" xfId="0" applyFont="1" applyFill="1" applyBorder="1"/>
    <xf numFmtId="0" fontId="0" fillId="0" borderId="0" xfId="0" applyFont="1" applyBorder="1"/>
    <xf numFmtId="0" fontId="0" fillId="0" borderId="13" xfId="0" applyFont="1" applyBorder="1"/>
    <xf numFmtId="0" fontId="27" fillId="4" borderId="0" xfId="0" applyFont="1" applyFill="1" applyBorder="1" applyAlignment="1">
      <alignment horizontal="left" vertical="center"/>
    </xf>
    <xf numFmtId="0" fontId="0" fillId="0" borderId="13" xfId="0" applyFont="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0" xfId="0" applyNumberFormat="1" applyFont="1" applyAlignment="1">
      <alignment horizontal="left" vertical="center" wrapText="1"/>
    </xf>
    <xf numFmtId="0" fontId="0" fillId="0" borderId="0" xfId="0" applyFont="1" applyBorder="1" applyAlignment="1">
      <alignment horizontal="left" vertical="center"/>
    </xf>
    <xf numFmtId="0" fontId="18" fillId="2" borderId="7" xfId="0" applyFont="1" applyFill="1" applyBorder="1" applyAlignment="1"/>
    <xf numFmtId="0" fontId="0" fillId="0" borderId="0" xfId="0" applyFont="1" applyAlignment="1">
      <alignment horizontal="left" vertical="center"/>
    </xf>
    <xf numFmtId="0" fontId="5" fillId="2" borderId="8" xfId="0" applyFont="1" applyFill="1" applyBorder="1"/>
    <xf numFmtId="0" fontId="0" fillId="0" borderId="4" xfId="0" applyFont="1" applyBorder="1" applyAlignment="1">
      <alignment horizontal="left" vertical="center"/>
    </xf>
    <xf numFmtId="0" fontId="0" fillId="0" borderId="48" xfId="0" applyFont="1" applyBorder="1" applyAlignment="1">
      <alignment horizontal="left" vertical="center"/>
    </xf>
    <xf numFmtId="0" fontId="0" fillId="0" borderId="0" xfId="0" applyFont="1" applyAlignment="1">
      <alignment horizontal="center" vertical="center"/>
    </xf>
    <xf numFmtId="0" fontId="0" fillId="0" borderId="0" xfId="0" applyFont="1" applyAlignment="1">
      <alignment horizontal="right"/>
    </xf>
    <xf numFmtId="0" fontId="13" fillId="2" borderId="0" xfId="0" applyFont="1" applyFill="1" applyBorder="1" applyAlignment="1">
      <alignment horizontal="center"/>
    </xf>
    <xf numFmtId="9" fontId="13" fillId="2" borderId="0" xfId="3" applyFont="1" applyFill="1" applyBorder="1" applyAlignment="1">
      <alignment horizontal="center"/>
    </xf>
    <xf numFmtId="1" fontId="13" fillId="2" borderId="0" xfId="3" applyNumberFormat="1" applyFont="1" applyFill="1" applyBorder="1" applyAlignment="1">
      <alignment horizontal="center"/>
    </xf>
    <xf numFmtId="0" fontId="9" fillId="2" borderId="16" xfId="0" applyFont="1" applyFill="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14"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33" fillId="0" borderId="0" xfId="0" applyFont="1"/>
    <xf numFmtId="0" fontId="34" fillId="2" borderId="7" xfId="0" applyFont="1" applyFill="1" applyBorder="1"/>
    <xf numFmtId="0" fontId="0" fillId="0" borderId="13" xfId="0" applyNumberFormat="1" applyFont="1" applyBorder="1" applyAlignment="1">
      <alignment horizontal="left" vertical="center"/>
    </xf>
    <xf numFmtId="17"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17" fillId="5" borderId="0" xfId="0" applyFont="1" applyFill="1" applyBorder="1" applyAlignment="1">
      <alignment horizontal="center"/>
    </xf>
    <xf numFmtId="0" fontId="19" fillId="5" borderId="0" xfId="0" applyFont="1" applyFill="1" applyBorder="1" applyAlignment="1">
      <alignment horizontal="center" vertical="top"/>
    </xf>
    <xf numFmtId="0" fontId="14" fillId="0" borderId="0" xfId="0" applyFont="1" applyBorder="1" applyAlignment="1">
      <alignment horizontal="left" vertical="center"/>
    </xf>
    <xf numFmtId="0" fontId="5" fillId="0" borderId="27" xfId="0" applyFont="1" applyBorder="1" applyAlignment="1">
      <alignment horizontal="center" vertical="center"/>
    </xf>
    <xf numFmtId="9" fontId="28" fillId="0" borderId="49" xfId="3" applyFont="1" applyBorder="1" applyAlignment="1">
      <alignment horizontal="left" vertical="center"/>
    </xf>
    <xf numFmtId="0" fontId="29" fillId="0" borderId="0" xfId="0" applyFont="1" applyBorder="1" applyAlignment="1">
      <alignment horizontal="left"/>
    </xf>
    <xf numFmtId="0" fontId="30" fillId="0" borderId="0" xfId="0" applyFont="1" applyBorder="1" applyAlignment="1">
      <alignment horizontal="left"/>
    </xf>
    <xf numFmtId="0" fontId="17" fillId="5" borderId="0" xfId="0" applyFont="1" applyFill="1" applyBorder="1" applyAlignment="1">
      <alignment horizontal="center" vertical="center"/>
    </xf>
    <xf numFmtId="0" fontId="0" fillId="0" borderId="1" xfId="0" applyBorder="1" applyAlignment="1">
      <alignment horizontal="center"/>
    </xf>
    <xf numFmtId="0" fontId="16" fillId="5" borderId="30" xfId="0" applyFont="1" applyFill="1" applyBorder="1" applyAlignment="1">
      <alignment horizontal="center"/>
    </xf>
    <xf numFmtId="0" fontId="0" fillId="0" borderId="31" xfId="0" applyBorder="1" applyAlignment="1">
      <alignment horizontal="center"/>
    </xf>
    <xf numFmtId="0" fontId="0" fillId="0" borderId="42" xfId="0" applyBorder="1" applyAlignment="1">
      <alignment horizontal="center"/>
    </xf>
    <xf numFmtId="0" fontId="17" fillId="5" borderId="1" xfId="0" applyFont="1" applyFill="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center" vertical="center"/>
    </xf>
    <xf numFmtId="0" fontId="31" fillId="9" borderId="9" xfId="0" applyFont="1" applyFill="1" applyBorder="1"/>
    <xf numFmtId="0" fontId="31" fillId="10" borderId="9" xfId="0" applyFont="1" applyFill="1" applyBorder="1"/>
    <xf numFmtId="0" fontId="29" fillId="0" borderId="4" xfId="0" applyFont="1" applyBorder="1"/>
    <xf numFmtId="0" fontId="28" fillId="0" borderId="4" xfId="0" applyFont="1" applyBorder="1"/>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4" fillId="0" borderId="0" xfId="0" applyNumberFormat="1" applyFont="1" applyAlignment="1">
      <alignment horizontal="left" vertical="center" wrapText="1"/>
    </xf>
    <xf numFmtId="0" fontId="0" fillId="0" borderId="13" xfId="0" applyNumberFormat="1" applyFont="1" applyBorder="1" applyAlignment="1">
      <alignment horizontal="left" vertical="center" wrapText="1"/>
    </xf>
  </cellXfs>
  <cellStyles count="4">
    <cellStyle name="Comma" xfId="1" builtinId="3"/>
    <cellStyle name="Currency" xfId="2" builtinId="4"/>
    <cellStyle name="Normal" xfId="0" builtinId="0"/>
    <cellStyle name="Percent" xfId="3" builtinId="5"/>
  </cellStyles>
  <dxfs count="1583">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00B050"/>
      </font>
    </dxf>
    <dxf>
      <font>
        <color rgb="FFFF0000"/>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62496173204"/>
          <c:y val="1.379324124276853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DashboardData1!$C$27</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DashboardData1!$B$28:$B$39</c:f>
              <c:numCache>
                <c:formatCode>General</c:formatCode>
                <c:ptCount val="12"/>
              </c:numCache>
            </c:numRef>
          </c:cat>
          <c:val>
            <c:numRef>
              <c:f>DashboardData1!$C$28:$C$39</c:f>
              <c:numCache>
                <c:formatCode>General</c:formatCode>
                <c:ptCount val="12"/>
              </c:numCache>
            </c:numRef>
          </c:val>
          <c:smooth val="0"/>
        </c:ser>
        <c:ser>
          <c:idx val="1"/>
          <c:order val="1"/>
          <c:tx>
            <c:strRef>
              <c:f>DashboardData1!$D$27</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DashboardData1!$B$28:$B$39</c:f>
              <c:numCache>
                <c:formatCode>General</c:formatCode>
                <c:ptCount val="12"/>
              </c:numCache>
            </c:numRef>
          </c:cat>
          <c:val>
            <c:numRef>
              <c:f>DashboardData1!$D$28:$D$39</c:f>
              <c:numCache>
                <c:formatCode>General</c:formatCode>
                <c:ptCount val="12"/>
              </c:numCache>
            </c:numRef>
          </c:val>
          <c:smooth val="0"/>
        </c:ser>
        <c:dLbls>
          <c:showLegendKey val="0"/>
          <c:showVal val="0"/>
          <c:showCatName val="0"/>
          <c:showSerName val="0"/>
          <c:showPercent val="0"/>
          <c:showBubbleSize val="0"/>
        </c:dLbls>
        <c:marker val="1"/>
        <c:smooth val="0"/>
        <c:axId val="147832320"/>
        <c:axId val="141059776"/>
      </c:lineChart>
      <c:catAx>
        <c:axId val="14783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1059776"/>
        <c:crosses val="autoZero"/>
        <c:auto val="1"/>
        <c:lblAlgn val="ctr"/>
        <c:lblOffset val="100"/>
        <c:noMultiLvlLbl val="0"/>
      </c:catAx>
      <c:valAx>
        <c:axId val="14105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7832320"/>
        <c:crosses val="autoZero"/>
        <c:crossBetween val="between"/>
      </c:valAx>
      <c:spPr>
        <a:noFill/>
        <a:ln w="25400">
          <a:noFill/>
        </a:ln>
      </c:spPr>
    </c:plotArea>
    <c:legend>
      <c:legendPos val="b"/>
      <c:layout>
        <c:manualLayout>
          <c:xMode val="edge"/>
          <c:yMode val="edge"/>
          <c:x val="0.13560385822689738"/>
          <c:y val="0.90145328719723172"/>
          <c:w val="0.50945412538829227"/>
          <c:h val="8.3110735725508422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8888266803"/>
          <c:y val="1.3793190234782295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DashboardData1!$C$40</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DashboardData1!$B$41:$B$52</c:f>
              <c:numCache>
                <c:formatCode>General</c:formatCode>
                <c:ptCount val="12"/>
              </c:numCache>
            </c:numRef>
          </c:cat>
          <c:val>
            <c:numRef>
              <c:f>DashboardData1!$C$41:$C$52</c:f>
              <c:numCache>
                <c:formatCode>General</c:formatCode>
                <c:ptCount val="12"/>
              </c:numCache>
            </c:numRef>
          </c:val>
          <c:smooth val="0"/>
        </c:ser>
        <c:ser>
          <c:idx val="1"/>
          <c:order val="1"/>
          <c:tx>
            <c:strRef>
              <c:f>DashboardData1!$D$40</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DashboardData1!$B$41:$B$52</c:f>
              <c:numCache>
                <c:formatCode>General</c:formatCode>
                <c:ptCount val="12"/>
              </c:numCache>
            </c:numRef>
          </c:cat>
          <c:val>
            <c:numRef>
              <c:f>DashboardData1!$D$41:$D$52</c:f>
              <c:numCache>
                <c:formatCode>General</c:formatCode>
                <c:ptCount val="12"/>
              </c:numCache>
            </c:numRef>
          </c:val>
          <c:smooth val="0"/>
        </c:ser>
        <c:dLbls>
          <c:showLegendKey val="0"/>
          <c:showVal val="0"/>
          <c:showCatName val="0"/>
          <c:showSerName val="0"/>
          <c:showPercent val="0"/>
          <c:showBubbleSize val="0"/>
        </c:dLbls>
        <c:marker val="1"/>
        <c:smooth val="0"/>
        <c:axId val="140843008"/>
        <c:axId val="141062080"/>
      </c:lineChart>
      <c:catAx>
        <c:axId val="14084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1062080"/>
        <c:crosses val="autoZero"/>
        <c:auto val="1"/>
        <c:lblAlgn val="ctr"/>
        <c:lblOffset val="100"/>
        <c:noMultiLvlLbl val="0"/>
      </c:catAx>
      <c:valAx>
        <c:axId val="14106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0843008"/>
        <c:crosses val="autoZero"/>
        <c:crossBetween val="between"/>
      </c:valAx>
      <c:spPr>
        <a:noFill/>
        <a:ln w="25400">
          <a:noFill/>
        </a:ln>
      </c:spPr>
    </c:plotArea>
    <c:legend>
      <c:legendPos val="b"/>
      <c:layout>
        <c:manualLayout>
          <c:xMode val="edge"/>
          <c:yMode val="edge"/>
          <c:x val="0.13560381351725889"/>
          <c:y val="0.90145363678855217"/>
          <c:w val="0.55825032460957502"/>
          <c:h val="8.2082119872002313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a:t>
            </a:r>
            <a:r>
              <a:rPr lang="en-US"/>
              <a:t>ctivations by Indications</a:t>
            </a:r>
          </a:p>
        </c:rich>
      </c:tx>
      <c:layout/>
      <c:overlay val="0"/>
      <c:spPr>
        <a:noFill/>
        <a:ln w="25400">
          <a:noFill/>
        </a:ln>
      </c:spPr>
    </c:title>
    <c:autoTitleDeleted val="0"/>
    <c:plotArea>
      <c:layout/>
      <c:lineChart>
        <c:grouping val="standard"/>
        <c:varyColors val="0"/>
        <c:ser>
          <c:idx val="0"/>
          <c:order val="0"/>
          <c:tx>
            <c:strRef>
              <c:f>'Insights - Indication Driven'!$C$26</c:f>
              <c:strCache>
                <c:ptCount val="1"/>
                <c:pt idx="0">
                  <c:v>RA</c:v>
                </c:pt>
              </c:strCache>
            </c:strRef>
          </c:tx>
          <c:spPr>
            <a:ln w="28575" cap="rnd">
              <a:solidFill>
                <a:schemeClr val="accent1"/>
              </a:solidFill>
              <a:round/>
            </a:ln>
            <a:effectLst/>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Driven'!$D$26:$S$26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
          <c:order val="1"/>
          <c:tx>
            <c:strRef>
              <c:f>'Insights - Indication Driven'!$C$27</c:f>
              <c:strCache>
                <c:ptCount val="1"/>
                <c:pt idx="0">
                  <c:v>PsA</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Driven'!$D$27:$S$27</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
          <c:order val="2"/>
          <c:tx>
            <c:strRef>
              <c:f>'Insights - Indication Driven'!$C$28</c:f>
              <c:strCache>
                <c:ptCount val="1"/>
                <c:pt idx="0">
                  <c:v>PsO (aged 18+)</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Driven'!$D$28:$S$28</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3"/>
          <c:order val="3"/>
          <c:tx>
            <c:strRef>
              <c:f>'Insights - Indication Driven'!$C$29</c:f>
              <c:strCache>
                <c:ptCount val="1"/>
                <c:pt idx="0">
                  <c:v>PsO (age 4-17)</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Driven'!$D$29:$S$29</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4"/>
          <c:order val="4"/>
          <c:tx>
            <c:strRef>
              <c:f>'Insights - Indication Driven'!$C$30</c:f>
              <c:strCache>
                <c:ptCount val="1"/>
                <c:pt idx="0">
                  <c:v>AS</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Driven'!$D$30:$S$30</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5"/>
          <c:order val="5"/>
          <c:tx>
            <c:strRef>
              <c:f>'Insights - Indication Driven'!$C$31</c:f>
              <c:strCache>
                <c:ptCount val="1"/>
                <c:pt idx="0">
                  <c:v>JIA</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Driven'!$D$31:$S$31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6"/>
          <c:order val="6"/>
          <c:tx>
            <c:strRef>
              <c:f>'Insights - Indication Driven'!$C$32</c:f>
              <c:strCache>
                <c:ptCount val="1"/>
                <c:pt idx="0">
                  <c:v>PsP</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Driven'!$D$32:$S$32</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62355968"/>
        <c:axId val="141064960"/>
      </c:lineChart>
      <c:dateAx>
        <c:axId val="623559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1064960"/>
        <c:crosses val="autoZero"/>
        <c:auto val="1"/>
        <c:lblOffset val="100"/>
        <c:baseTimeUnit val="months"/>
      </c:dateAx>
      <c:valAx>
        <c:axId val="141064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2355968"/>
        <c:crosses val="autoZero"/>
        <c:crossBetween val="between"/>
      </c:valAx>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t>
            </a:r>
            <a:r>
              <a:rPr lang="en-US"/>
              <a:t>Transactions by Indications</a:t>
            </a:r>
          </a:p>
        </c:rich>
      </c:tx>
      <c:overlay val="0"/>
      <c:spPr>
        <a:noFill/>
        <a:ln w="25400">
          <a:noFill/>
        </a:ln>
      </c:spPr>
    </c:title>
    <c:autoTitleDeleted val="0"/>
    <c:plotArea>
      <c:layout/>
      <c:lineChart>
        <c:grouping val="standard"/>
        <c:varyColors val="0"/>
        <c:ser>
          <c:idx val="0"/>
          <c:order val="0"/>
          <c:tx>
            <c:strRef>
              <c:f>'Insights - Indication Driven'!$C$55</c:f>
              <c:strCache>
                <c:ptCount val="1"/>
                <c:pt idx="0">
                  <c:v>RA</c:v>
                </c:pt>
              </c:strCache>
            </c:strRef>
          </c:tx>
          <c:spPr>
            <a:ln w="28575" cap="rnd">
              <a:solidFill>
                <a:schemeClr val="accent1"/>
              </a:solidFill>
              <a:round/>
            </a:ln>
            <a:effectLst/>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Driven'!$D$55:$S$55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
          <c:order val="1"/>
          <c:tx>
            <c:strRef>
              <c:f>'Insights - Indication Driven'!$C$56</c:f>
              <c:strCache>
                <c:ptCount val="1"/>
                <c:pt idx="0">
                  <c:v>PsA</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Driven'!$D$56:$S$56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
          <c:order val="2"/>
          <c:tx>
            <c:strRef>
              <c:f>'Insights - Indication Driven'!$C$57</c:f>
              <c:strCache>
                <c:ptCount val="1"/>
                <c:pt idx="0">
                  <c:v>PsO (aged 18+)</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Driven'!$D$57:$S$57</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3"/>
          <c:order val="3"/>
          <c:tx>
            <c:strRef>
              <c:f>'Insights - Indication Driven'!$C$58</c:f>
              <c:strCache>
                <c:ptCount val="1"/>
                <c:pt idx="0">
                  <c:v>PsO (age 4-17)</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Driven'!$D$58:$S$58</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4"/>
          <c:order val="4"/>
          <c:tx>
            <c:strRef>
              <c:f>'Insights - Indication Driven'!$C$59</c:f>
              <c:strCache>
                <c:ptCount val="1"/>
                <c:pt idx="0">
                  <c:v>AS</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Driven'!$D$59:$S$59</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5"/>
          <c:order val="5"/>
          <c:tx>
            <c:strRef>
              <c:f>'Insights - Indication Driven'!$C$60</c:f>
              <c:strCache>
                <c:ptCount val="1"/>
                <c:pt idx="0">
                  <c:v>JIA</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Driven'!$D$60:$S$60</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6"/>
          <c:order val="6"/>
          <c:tx>
            <c:strRef>
              <c:f>'Insights - Indication Driven'!$C$61</c:f>
              <c:strCache>
                <c:ptCount val="1"/>
                <c:pt idx="0">
                  <c:v>PsP</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Driven'!$D$61:$S$61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62849024"/>
        <c:axId val="148811712"/>
      </c:lineChart>
      <c:dateAx>
        <c:axId val="6284902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8811712"/>
        <c:crosses val="autoZero"/>
        <c:auto val="1"/>
        <c:lblOffset val="100"/>
        <c:baseTimeUnit val="months"/>
      </c:dateAx>
      <c:valAx>
        <c:axId val="1488117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2849024"/>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Transactions</a:t>
            </a:r>
            <a:r>
              <a:rPr lang="en-US" baseline="0"/>
              <a:t> Contributions by Indications</a:t>
            </a:r>
            <a:endParaRPr lang="en-US"/>
          </a:p>
        </c:rich>
      </c:tx>
      <c:overlay val="0"/>
      <c:spPr>
        <a:noFill/>
        <a:ln w="25400">
          <a:noFill/>
        </a:ln>
      </c:spPr>
    </c:title>
    <c:autoTitleDeleted val="0"/>
    <c:plotArea>
      <c:layout/>
      <c:pieChart>
        <c:varyColors val="1"/>
        <c:ser>
          <c:idx val="0"/>
          <c:order val="0"/>
          <c:tx>
            <c:strRef>
              <c:f>ControlSheet!$E$47</c:f>
              <c:strCache>
                <c:ptCount val="1"/>
                <c:pt idx="0">
                  <c:v>Transactions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ControlSheet!$D$48:$D$54</c:f>
              <c:strCache>
                <c:ptCount val="7"/>
                <c:pt idx="0">
                  <c:v>RA</c:v>
                </c:pt>
                <c:pt idx="1">
                  <c:v>PsA</c:v>
                </c:pt>
                <c:pt idx="2">
                  <c:v>PsO (aged 18+)</c:v>
                </c:pt>
                <c:pt idx="3">
                  <c:v>PsO (age 4-17)</c:v>
                </c:pt>
                <c:pt idx="4">
                  <c:v>AS</c:v>
                </c:pt>
                <c:pt idx="5">
                  <c:v>JIA</c:v>
                </c:pt>
                <c:pt idx="6">
                  <c:v>PsP</c:v>
                </c:pt>
              </c:strCache>
            </c:strRef>
          </c:cat>
          <c:val>
            <c:numRef>
              <c:f>ControlSheet!$E$48:$E$54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 CY vs. PY</a:t>
            </a:r>
            <a:endParaRPr lang="en-US"/>
          </a:p>
        </c:rich>
      </c:tx>
      <c:overlay val="0"/>
      <c:spPr>
        <a:noFill/>
        <a:ln w="25400">
          <a:noFill/>
        </a:ln>
      </c:spPr>
    </c:title>
    <c:autoTitleDeleted val="0"/>
    <c:plotArea>
      <c:layout/>
      <c:barChart>
        <c:barDir val="col"/>
        <c:grouping val="clustered"/>
        <c:varyColors val="0"/>
        <c:ser>
          <c:idx val="0"/>
          <c:order val="0"/>
          <c:tx>
            <c:strRef>
              <c:f>ControlSheet!$F$57</c:f>
              <c:strCache>
                <c:ptCount val="1"/>
                <c:pt idx="0">
                  <c:v>2017</c:v>
                </c:pt>
              </c:strCache>
            </c:strRef>
          </c:tx>
          <c:invertIfNegative val="0"/>
          <c:cat>
            <c:strRef>
              <c:f>ControlSheet!$E$58:$E$69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ControlSheet!$F$58:$F$69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ControlSheet!$G$57</c:f>
              <c:strCache>
                <c:ptCount val="1"/>
                <c:pt idx="0">
                  <c:v>2018</c:v>
                </c:pt>
              </c:strCache>
            </c:strRef>
          </c:tx>
          <c:invertIfNegative val="0"/>
          <c:cat>
            <c:strRef>
              <c:f>ControlSheet!$E$58:$E$69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ControlSheet!$G$58:$G$69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62849536"/>
        <c:axId val="148815168"/>
      </c:barChart>
      <c:catAx>
        <c:axId val="6284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8815168"/>
        <c:crosses val="autoZero"/>
        <c:auto val="1"/>
        <c:lblAlgn val="ctr"/>
        <c:lblOffset val="100"/>
        <c:noMultiLvlLbl val="1"/>
      </c:catAx>
      <c:valAx>
        <c:axId val="14881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2849536"/>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Activations Contributions by Indications</a:t>
            </a:r>
          </a:p>
        </c:rich>
      </c:tx>
      <c:layout/>
      <c:overlay val="0"/>
      <c:spPr>
        <a:noFill/>
        <a:ln w="25400">
          <a:noFill/>
        </a:ln>
      </c:spPr>
    </c:title>
    <c:autoTitleDeleted val="0"/>
    <c:plotArea>
      <c:layout/>
      <c:pieChart>
        <c:varyColors val="1"/>
        <c:ser>
          <c:idx val="0"/>
          <c:order val="0"/>
          <c:tx>
            <c:strRef>
              <c:f>ControlSheet!$B$47</c:f>
              <c:strCache>
                <c:ptCount val="1"/>
                <c:pt idx="0">
                  <c:v>Activations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ControlSheet!$A$48:$A$54</c:f>
              <c:strCache>
                <c:ptCount val="7"/>
                <c:pt idx="0">
                  <c:v>RA</c:v>
                </c:pt>
                <c:pt idx="1">
                  <c:v>PsA</c:v>
                </c:pt>
                <c:pt idx="2">
                  <c:v>PsO (aged 18+)</c:v>
                </c:pt>
                <c:pt idx="3">
                  <c:v>PsO (age 4-17)</c:v>
                </c:pt>
                <c:pt idx="4">
                  <c:v>AS</c:v>
                </c:pt>
                <c:pt idx="5">
                  <c:v>JIA</c:v>
                </c:pt>
                <c:pt idx="6">
                  <c:v>PsP</c:v>
                </c:pt>
              </c:strCache>
            </c:strRef>
          </c:cat>
          <c:val>
            <c:numRef>
              <c:f>ControlSheet!$B$48:$B$54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Activations - CY vs. PY</a:t>
            </a:r>
            <a:endParaRPr lang="en-US"/>
          </a:p>
        </c:rich>
      </c:tx>
      <c:layout/>
      <c:overlay val="0"/>
      <c:spPr>
        <a:noFill/>
        <a:ln w="25400">
          <a:noFill/>
        </a:ln>
      </c:spPr>
    </c:title>
    <c:autoTitleDeleted val="0"/>
    <c:plotArea>
      <c:layout>
        <c:manualLayout>
          <c:layoutTarget val="inner"/>
          <c:xMode val="edge"/>
          <c:yMode val="edge"/>
          <c:x val="6.3361071383513448E-2"/>
          <c:y val="0.19710599532691347"/>
          <c:w val="0.89355289118549153"/>
          <c:h val="0.58776387406977215"/>
        </c:manualLayout>
      </c:layout>
      <c:barChart>
        <c:barDir val="col"/>
        <c:grouping val="clustered"/>
        <c:varyColors val="0"/>
        <c:ser>
          <c:idx val="0"/>
          <c:order val="0"/>
          <c:tx>
            <c:strRef>
              <c:f>ControlSheet!$B$57</c:f>
              <c:strCache>
                <c:ptCount val="1"/>
                <c:pt idx="0">
                  <c:v>2017</c:v>
                </c:pt>
              </c:strCache>
            </c:strRef>
          </c:tx>
          <c:invertIfNegative val="0"/>
          <c:cat>
            <c:strRef>
              <c:f>ControlSheet!$A$58:$A$69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ControlSheet!$B$58:$B$69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ControlSheet!$C$57</c:f>
              <c:strCache>
                <c:ptCount val="1"/>
                <c:pt idx="0">
                  <c:v>2018</c:v>
                </c:pt>
              </c:strCache>
            </c:strRef>
          </c:tx>
          <c:invertIfNegative val="0"/>
          <c:cat>
            <c:strRef>
              <c:f>ControlSheet!$A$58:$A$69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ControlSheet!$C$58:$C$69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62850048"/>
        <c:axId val="149105472"/>
      </c:barChart>
      <c:catAx>
        <c:axId val="6285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9105472"/>
        <c:crosses val="autoZero"/>
        <c:auto val="1"/>
        <c:lblAlgn val="ctr"/>
        <c:lblOffset val="100"/>
        <c:noMultiLvlLbl val="1"/>
      </c:catAx>
      <c:valAx>
        <c:axId val="149105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2850048"/>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Sheet!$C$2" fmlaRange="ControlSheet!$A$19:$A$22" noThreeD="1" val="0"/>
</file>

<file path=xl/ctrlProps/ctrlProp4.xml><?xml version="1.0" encoding="utf-8"?>
<formControlPr xmlns="http://schemas.microsoft.com/office/spreadsheetml/2009/9/main" objectType="Drop" dropLines="3" dropStyle="combo" dx="16" fmlaLink="ControlSheet!$C$3" fmlaRange="ControlSheet!$B$19:$B$21" noThreeD="1" val="0"/>
</file>

<file path=xl/ctrlProps/ctrlProp5.xml><?xml version="1.0" encoding="utf-8"?>
<formControlPr xmlns="http://schemas.microsoft.com/office/spreadsheetml/2009/9/main" objectType="Drop" dropStyle="combo" dx="16" fmlaLink="ControlSheet!$C$4" fmlaRange="ControlSheet!$D$16:$D$23" noThreeD="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57150</xdr:colOff>
          <xdr:row>6</xdr:row>
          <xdr:rowOff>0</xdr:rowOff>
        </xdr:from>
        <xdr:to>
          <xdr:col>13</xdr:col>
          <xdr:colOff>0</xdr:colOff>
          <xdr:row>7</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6</xdr:row>
          <xdr:rowOff>0</xdr:rowOff>
        </xdr:from>
        <xdr:to>
          <xdr:col>11</xdr:col>
          <xdr:colOff>57150</xdr:colOff>
          <xdr:row>7</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885825</xdr:colOff>
          <xdr:row>5</xdr:row>
          <xdr:rowOff>66675</xdr:rowOff>
        </xdr:from>
        <xdr:to>
          <xdr:col>4</xdr:col>
          <xdr:colOff>19050</xdr:colOff>
          <xdr:row>7</xdr:row>
          <xdr:rowOff>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xdr:from>
      <xdr:col>2</xdr:col>
      <xdr:colOff>9525</xdr:colOff>
      <xdr:row>9</xdr:row>
      <xdr:rowOff>180975</xdr:rowOff>
    </xdr:from>
    <xdr:to>
      <xdr:col>6</xdr:col>
      <xdr:colOff>1009650</xdr:colOff>
      <xdr:row>22</xdr:row>
      <xdr:rowOff>123825</xdr:rowOff>
    </xdr:to>
    <xdr:graphicFrame macro="">
      <xdr:nvGraphicFramePr>
        <xdr:cNvPr id="102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1295400</xdr:colOff>
      <xdr:row>9</xdr:row>
      <xdr:rowOff>142875</xdr:rowOff>
    </xdr:from>
    <xdr:to>
      <xdr:col>13</xdr:col>
      <xdr:colOff>0</xdr:colOff>
      <xdr:row>22</xdr:row>
      <xdr:rowOff>123825</xdr:rowOff>
    </xdr:to>
    <xdr:graphicFrame macro="">
      <xdr:nvGraphicFramePr>
        <xdr:cNvPr id="102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1005417</xdr:colOff>
      <xdr:row>1</xdr:row>
      <xdr:rowOff>95250</xdr:rowOff>
    </xdr:from>
    <xdr:to>
      <xdr:col>7</xdr:col>
      <xdr:colOff>430446</xdr:colOff>
      <xdr:row>2</xdr:row>
      <xdr:rowOff>107449</xdr:rowOff>
    </xdr:to>
    <xdr:pic>
      <xdr:nvPicPr>
        <xdr:cNvPr id="8"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392334" y="1481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529166</xdr:colOff>
      <xdr:row>1</xdr:row>
      <xdr:rowOff>137583</xdr:rowOff>
    </xdr:from>
    <xdr:to>
      <xdr:col>8</xdr:col>
      <xdr:colOff>366945</xdr:colOff>
      <xdr:row>2</xdr:row>
      <xdr:rowOff>149782</xdr:rowOff>
    </xdr:to>
    <xdr:pic>
      <xdr:nvPicPr>
        <xdr:cNvPr id="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7027333" y="19050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657225</xdr:colOff>
          <xdr:row>6</xdr:row>
          <xdr:rowOff>0</xdr:rowOff>
        </xdr:from>
        <xdr:to>
          <xdr:col>3</xdr:col>
          <xdr:colOff>628650</xdr:colOff>
          <xdr:row>7</xdr:row>
          <xdr:rowOff>0</xdr:rowOff>
        </xdr:to>
        <xdr:sp macro="" textlink="">
          <xdr:nvSpPr>
            <xdr:cNvPr id="4100" name="Drop Down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xdr:twoCellAnchor>
    <xdr:from>
      <xdr:col>7</xdr:col>
      <xdr:colOff>550333</xdr:colOff>
      <xdr:row>1</xdr:row>
      <xdr:rowOff>148166</xdr:rowOff>
    </xdr:from>
    <xdr:to>
      <xdr:col>8</xdr:col>
      <xdr:colOff>388112</xdr:colOff>
      <xdr:row>2</xdr:row>
      <xdr:rowOff>160365</xdr:rowOff>
    </xdr:to>
    <xdr:pic>
      <xdr:nvPicPr>
        <xdr:cNvPr id="4"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7048500" y="201083"/>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8</xdr:row>
      <xdr:rowOff>85725</xdr:rowOff>
    </xdr:from>
    <xdr:to>
      <xdr:col>10</xdr:col>
      <xdr:colOff>381000</xdr:colOff>
      <xdr:row>22</xdr:row>
      <xdr:rowOff>66675</xdr:rowOff>
    </xdr:to>
    <xdr:graphicFrame macro="">
      <xdr:nvGraphicFramePr>
        <xdr:cNvPr id="2048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104775</xdr:colOff>
      <xdr:row>35</xdr:row>
      <xdr:rowOff>104775</xdr:rowOff>
    </xdr:from>
    <xdr:to>
      <xdr:col>10</xdr:col>
      <xdr:colOff>371475</xdr:colOff>
      <xdr:row>51</xdr:row>
      <xdr:rowOff>19050</xdr:rowOff>
    </xdr:to>
    <xdr:graphicFrame macro="">
      <xdr:nvGraphicFramePr>
        <xdr:cNvPr id="2048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400050</xdr:colOff>
      <xdr:row>35</xdr:row>
      <xdr:rowOff>95250</xdr:rowOff>
    </xdr:from>
    <xdr:to>
      <xdr:col>18</xdr:col>
      <xdr:colOff>266700</xdr:colOff>
      <xdr:row>51</xdr:row>
      <xdr:rowOff>28575</xdr:rowOff>
    </xdr:to>
    <xdr:graphicFrame macro="">
      <xdr:nvGraphicFramePr>
        <xdr:cNvPr id="2048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314325</xdr:colOff>
      <xdr:row>35</xdr:row>
      <xdr:rowOff>85725</xdr:rowOff>
    </xdr:from>
    <xdr:to>
      <xdr:col>27</xdr:col>
      <xdr:colOff>733425</xdr:colOff>
      <xdr:row>51</xdr:row>
      <xdr:rowOff>19050</xdr:rowOff>
    </xdr:to>
    <xdr:graphicFrame macro="">
      <xdr:nvGraphicFramePr>
        <xdr:cNvPr id="2048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409575</xdr:colOff>
      <xdr:row>8</xdr:row>
      <xdr:rowOff>85725</xdr:rowOff>
    </xdr:from>
    <xdr:to>
      <xdr:col>18</xdr:col>
      <xdr:colOff>276225</xdr:colOff>
      <xdr:row>22</xdr:row>
      <xdr:rowOff>57150</xdr:rowOff>
    </xdr:to>
    <xdr:graphicFrame macro="">
      <xdr:nvGraphicFramePr>
        <xdr:cNvPr id="2048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323850</xdr:colOff>
      <xdr:row>8</xdr:row>
      <xdr:rowOff>85725</xdr:rowOff>
    </xdr:from>
    <xdr:to>
      <xdr:col>27</xdr:col>
      <xdr:colOff>742950</xdr:colOff>
      <xdr:row>22</xdr:row>
      <xdr:rowOff>57150</xdr:rowOff>
    </xdr:to>
    <xdr:graphicFrame macro="">
      <xdr:nvGraphicFramePr>
        <xdr:cNvPr id="2048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295275</xdr:colOff>
          <xdr:row>5</xdr:row>
          <xdr:rowOff>142875</xdr:rowOff>
        </xdr:from>
        <xdr:to>
          <xdr:col>6</xdr:col>
          <xdr:colOff>247650</xdr:colOff>
          <xdr:row>5</xdr:row>
          <xdr:rowOff>323850</xdr:rowOff>
        </xdr:to>
        <xdr:sp macro="" textlink="">
          <xdr:nvSpPr>
            <xdr:cNvPr id="20481" name="Drop Down 1" hidden="1">
              <a:extLst>
                <a:ext uri="{63B3BB69-23CF-44E3-9099-C40C66FF867C}">
                  <a14:compatExt spid="_x0000_s20481"/>
                </a:ext>
              </a:extLst>
            </xdr:cNvPr>
            <xdr:cNvSpPr/>
          </xdr:nvSpPr>
          <xdr:spPr>
            <a:xfrm>
              <a:off x="0" y="0"/>
              <a:ext cx="0" cy="0"/>
            </a:xfrm>
            <a:prstGeom prst="rect">
              <a:avLst/>
            </a:prstGeom>
          </xdr:spPr>
        </xdr:sp>
        <xdr:clientData/>
      </xdr:twoCellAnchor>
    </mc:Choice>
    <mc:Fallback/>
  </mc:AlternateContent>
  <xdr:twoCellAnchor>
    <xdr:from>
      <xdr:col>14</xdr:col>
      <xdr:colOff>529167</xdr:colOff>
      <xdr:row>1</xdr:row>
      <xdr:rowOff>127001</xdr:rowOff>
    </xdr:from>
    <xdr:to>
      <xdr:col>16</xdr:col>
      <xdr:colOff>366945</xdr:colOff>
      <xdr:row>2</xdr:row>
      <xdr:rowOff>139200</xdr:rowOff>
    </xdr:to>
    <xdr:pic>
      <xdr:nvPicPr>
        <xdr:cNvPr id="10"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7" cstate="print">
          <a:biLevel thresh="25000"/>
          <a:extLst>
            <a:ext uri="{28A0092B-C50C-407E-A947-70E740481C1C}">
              <a14:useLocalDpi xmlns:a14="http://schemas.microsoft.com/office/drawing/2010/main" val="0"/>
            </a:ext>
          </a:extLst>
        </a:blip>
        <a:srcRect/>
        <a:stretch>
          <a:fillRect/>
        </a:stretch>
      </xdr:blipFill>
      <xdr:spPr bwMode="auto">
        <a:xfrm>
          <a:off x="8276167" y="169334"/>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4815417</xdr:colOff>
      <xdr:row>2</xdr:row>
      <xdr:rowOff>10583</xdr:rowOff>
    </xdr:from>
    <xdr:to>
      <xdr:col>2</xdr:col>
      <xdr:colOff>5817362</xdr:colOff>
      <xdr:row>3</xdr:row>
      <xdr:rowOff>22782</xdr:rowOff>
    </xdr:to>
    <xdr:pic>
      <xdr:nvPicPr>
        <xdr:cNvPr id="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080000" y="25400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ohit.Airun\Downloads\Enbrel%20Copay%20National%20Report%20Mock-up_20170217.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istrict Details"/>
      <sheetName val="SF Details"/>
      <sheetName val="Insights - Indication Driven"/>
      <sheetName val="Insights - Indication Driven-2"/>
      <sheetName val="Instructions_Business Rules"/>
    </sheetNames>
    <sheetDataSet>
      <sheetData sheetId="0"/>
      <sheetData sheetId="1"/>
      <sheetData sheetId="2"/>
      <sheetData sheetId="3">
        <row r="25">
          <cell r="D25">
            <v>42005</v>
          </cell>
        </row>
      </sheetData>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N59"/>
  <sheetViews>
    <sheetView showGridLines="0" tabSelected="1" zoomScale="90" zoomScaleNormal="90" zoomScaleSheetLayoutView="70" workbookViewId="0"/>
  </sheetViews>
  <sheetFormatPr defaultRowHeight="12.75"/>
  <cols>
    <col min="1" max="1" width="1.75" style="1" customWidth="1"/>
    <col min="2" max="2" width="1.625" style="1" customWidth="1"/>
    <col min="3" max="3" width="17.375" style="1" customWidth="1"/>
    <col min="4" max="4" width="12.625" style="1" customWidth="1"/>
    <col min="5" max="5" width="18.625" style="1" customWidth="1"/>
    <col min="6" max="6" width="18.625" style="4" customWidth="1"/>
    <col min="7" max="8" width="20.75" style="4"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6384" width="9" style="1"/>
  </cols>
  <sheetData>
    <row r="1" spans="2:14" ht="3.75" customHeight="1"/>
    <row r="2" spans="2:14" ht="15" customHeight="1">
      <c r="B2" s="78"/>
      <c r="C2" s="76"/>
      <c r="D2" s="76"/>
      <c r="E2" s="76"/>
      <c r="F2" s="76"/>
      <c r="G2" s="77"/>
      <c r="H2" s="77"/>
      <c r="I2" s="76"/>
      <c r="J2" s="76"/>
      <c r="K2" s="76"/>
      <c r="L2" s="76"/>
      <c r="M2" s="75"/>
      <c r="N2" s="74"/>
    </row>
    <row r="3" spans="2:14" ht="15" customHeight="1">
      <c r="B3" s="72"/>
      <c r="C3" s="71"/>
      <c r="D3" s="71"/>
      <c r="E3" s="71"/>
      <c r="F3" s="252" t="s">
        <v>51</v>
      </c>
      <c r="G3" s="252"/>
      <c r="H3" s="252"/>
      <c r="I3" s="252"/>
      <c r="J3" s="71"/>
      <c r="K3" s="71"/>
      <c r="L3" s="71"/>
      <c r="M3" s="73"/>
      <c r="N3" s="70"/>
    </row>
    <row r="4" spans="2:14" ht="20.100000000000001" customHeight="1">
      <c r="B4" s="72"/>
      <c r="C4" s="71"/>
      <c r="D4" s="71"/>
      <c r="E4" s="71"/>
      <c r="F4" s="252"/>
      <c r="G4" s="252"/>
      <c r="H4" s="252"/>
      <c r="I4" s="252"/>
      <c r="J4" s="71"/>
      <c r="K4" s="71"/>
      <c r="L4" s="71"/>
      <c r="M4" s="73"/>
      <c r="N4" s="70"/>
    </row>
    <row r="5" spans="2:14" ht="15" customHeight="1">
      <c r="B5" s="72"/>
      <c r="C5" s="71"/>
      <c r="D5" s="71"/>
      <c r="E5" s="71"/>
      <c r="F5" s="71"/>
      <c r="G5" s="253" t="s">
        <v>1100</v>
      </c>
      <c r="H5" s="253"/>
      <c r="I5" s="71"/>
      <c r="J5" s="71"/>
      <c r="K5" s="71"/>
      <c r="L5" s="71"/>
      <c r="M5" s="71"/>
      <c r="N5" s="70"/>
    </row>
    <row r="6" spans="2:14" ht="6" customHeight="1">
      <c r="B6" s="16"/>
      <c r="C6" s="6"/>
      <c r="D6" s="6"/>
      <c r="E6" s="6"/>
      <c r="F6" s="8"/>
      <c r="G6" s="8"/>
      <c r="H6" s="8"/>
      <c r="I6" s="69"/>
      <c r="J6" s="6"/>
      <c r="K6" s="6"/>
      <c r="L6" s="6"/>
      <c r="M6" s="6"/>
      <c r="N6" s="63"/>
    </row>
    <row r="7" spans="2:14" ht="15" customHeight="1">
      <c r="B7" s="16"/>
      <c r="C7" s="67" t="s">
        <v>50</v>
      </c>
      <c r="D7" s="67"/>
      <c r="E7" s="6"/>
      <c r="F7" s="8"/>
      <c r="G7" s="66"/>
      <c r="H7" s="66"/>
      <c r="I7" s="6"/>
      <c r="J7" s="6"/>
      <c r="K7" s="6"/>
      <c r="L7" s="6"/>
      <c r="M7" s="6"/>
      <c r="N7" s="63"/>
    </row>
    <row r="8" spans="2:14" ht="7.5" customHeight="1">
      <c r="B8" s="16"/>
      <c r="C8" s="67"/>
      <c r="D8" s="67"/>
      <c r="E8" s="6"/>
      <c r="F8" s="8"/>
      <c r="G8" s="66"/>
      <c r="H8" s="66"/>
      <c r="I8" s="6"/>
      <c r="J8" s="6"/>
      <c r="K8" s="6"/>
      <c r="L8" s="6"/>
      <c r="M8" s="6"/>
      <c r="N8" s="63"/>
    </row>
    <row r="9" spans="2:14" ht="8.25" customHeight="1">
      <c r="B9" s="133"/>
      <c r="C9" s="131"/>
      <c r="D9" s="131"/>
      <c r="E9" s="39"/>
      <c r="F9" s="40"/>
      <c r="G9" s="132"/>
      <c r="H9" s="132"/>
      <c r="I9" s="39"/>
      <c r="J9" s="39"/>
      <c r="K9" s="39"/>
      <c r="L9" s="39"/>
      <c r="M9" s="39"/>
      <c r="N9" s="134"/>
    </row>
    <row r="10" spans="2:14" ht="15" customHeight="1">
      <c r="B10" s="16"/>
      <c r="C10" s="67"/>
      <c r="D10" s="67"/>
      <c r="E10" s="6"/>
      <c r="F10" s="8"/>
      <c r="G10" s="66"/>
      <c r="H10" s="66"/>
      <c r="I10" s="6"/>
      <c r="J10" s="6"/>
      <c r="K10" s="6"/>
      <c r="L10" s="6"/>
      <c r="M10" s="6"/>
      <c r="N10" s="63"/>
    </row>
    <row r="11" spans="2:14" ht="16.7" customHeight="1">
      <c r="B11" s="16"/>
      <c r="C11" s="67"/>
      <c r="D11" s="67"/>
      <c r="E11" s="6"/>
      <c r="F11" s="8"/>
      <c r="G11" s="66"/>
      <c r="H11" s="66"/>
      <c r="I11" s="6"/>
      <c r="J11" s="6"/>
      <c r="K11" s="6"/>
      <c r="L11" s="6"/>
      <c r="M11" s="6"/>
      <c r="N11" s="63"/>
    </row>
    <row r="12" spans="2:14" ht="16.7" customHeight="1">
      <c r="B12" s="16"/>
      <c r="C12" s="67"/>
      <c r="D12" s="67"/>
      <c r="E12" s="6"/>
      <c r="F12" s="8"/>
      <c r="G12" s="66"/>
      <c r="H12" s="66"/>
      <c r="I12" s="6"/>
      <c r="J12" s="6"/>
      <c r="K12" s="6"/>
      <c r="L12" s="6"/>
      <c r="M12" s="6"/>
      <c r="N12" s="63"/>
    </row>
    <row r="13" spans="2:14" ht="15.75" customHeight="1">
      <c r="B13" s="16"/>
      <c r="C13" s="67"/>
      <c r="D13" s="67"/>
      <c r="E13" s="6"/>
      <c r="F13" s="8"/>
      <c r="G13" s="66"/>
      <c r="H13" s="66"/>
      <c r="I13" s="6"/>
      <c r="J13" s="6"/>
      <c r="K13" s="6"/>
      <c r="L13" s="6"/>
      <c r="M13" s="6"/>
      <c r="N13" s="63"/>
    </row>
    <row r="14" spans="2:14" ht="15.75" customHeight="1">
      <c r="B14" s="16"/>
      <c r="C14" s="67"/>
      <c r="D14" s="67"/>
      <c r="E14" s="6"/>
      <c r="F14" s="8"/>
      <c r="G14" s="66"/>
      <c r="H14" s="66"/>
      <c r="I14" s="6"/>
      <c r="J14" s="6"/>
      <c r="K14" s="6"/>
      <c r="L14" s="6"/>
      <c r="M14" s="6"/>
      <c r="N14" s="63"/>
    </row>
    <row r="15" spans="2:14" ht="30.75" customHeight="1">
      <c r="B15" s="16"/>
      <c r="C15" s="67"/>
      <c r="D15" s="67"/>
      <c r="E15" s="6"/>
      <c r="F15" s="8"/>
      <c r="G15" s="66"/>
      <c r="H15" s="66"/>
      <c r="I15" s="6"/>
      <c r="J15" s="6"/>
      <c r="K15" s="6"/>
      <c r="L15" s="6"/>
      <c r="M15" s="6"/>
      <c r="N15" s="63"/>
    </row>
    <row r="16" spans="2:14" ht="15.75" customHeight="1">
      <c r="B16" s="16"/>
      <c r="C16" s="67"/>
      <c r="D16" s="67"/>
      <c r="E16" s="6"/>
      <c r="F16" s="8"/>
      <c r="G16" s="66"/>
      <c r="H16" s="66"/>
      <c r="I16" s="6"/>
      <c r="J16" s="6"/>
      <c r="K16" s="6"/>
      <c r="L16" s="6"/>
      <c r="M16" s="6"/>
      <c r="N16" s="63"/>
    </row>
    <row r="17" spans="2:14" ht="15.75" customHeight="1">
      <c r="B17" s="16"/>
      <c r="C17" s="67"/>
      <c r="D17" s="67"/>
      <c r="E17" s="6"/>
      <c r="F17" s="8"/>
      <c r="G17" s="66"/>
      <c r="H17" s="66"/>
      <c r="I17" s="6"/>
      <c r="J17" s="6"/>
      <c r="K17" s="6"/>
      <c r="L17" s="6"/>
      <c r="M17" s="6"/>
      <c r="N17" s="63"/>
    </row>
    <row r="18" spans="2:14" ht="15.75" customHeight="1">
      <c r="B18" s="16"/>
      <c r="C18" s="67"/>
      <c r="D18" s="67"/>
      <c r="E18" s="6"/>
      <c r="F18" s="8"/>
      <c r="G18" s="66"/>
      <c r="H18" s="66"/>
      <c r="I18" s="6"/>
      <c r="J18" s="6"/>
      <c r="K18" s="6"/>
      <c r="L18" s="6"/>
      <c r="M18" s="6"/>
      <c r="N18" s="63"/>
    </row>
    <row r="19" spans="2:14" ht="15.75" customHeight="1">
      <c r="B19" s="16"/>
      <c r="C19" s="67"/>
      <c r="D19" s="67"/>
      <c r="E19" s="6"/>
      <c r="F19" s="8"/>
      <c r="G19" s="66"/>
      <c r="H19" s="66"/>
      <c r="I19" s="6"/>
      <c r="J19" s="6"/>
      <c r="K19" s="6"/>
      <c r="L19" s="6"/>
      <c r="M19" s="6"/>
      <c r="N19" s="63"/>
    </row>
    <row r="20" spans="2:14" ht="15.75" customHeight="1">
      <c r="B20" s="16"/>
      <c r="C20" s="67"/>
      <c r="D20" s="67"/>
      <c r="E20" s="6"/>
      <c r="F20" s="8"/>
      <c r="G20" s="66"/>
      <c r="H20" s="66"/>
      <c r="I20" s="6"/>
      <c r="J20" s="6"/>
      <c r="K20" s="6"/>
      <c r="L20" s="6"/>
      <c r="M20" s="6"/>
      <c r="N20" s="63"/>
    </row>
    <row r="21" spans="2:14" ht="15.75" customHeight="1">
      <c r="B21" s="16"/>
      <c r="C21" s="67"/>
      <c r="D21" s="67"/>
      <c r="E21" s="6"/>
      <c r="F21" s="8"/>
      <c r="G21" s="66"/>
      <c r="H21" s="66"/>
      <c r="I21" s="6"/>
      <c r="J21" s="6"/>
      <c r="K21" s="6"/>
      <c r="L21" s="6"/>
      <c r="M21" s="6"/>
      <c r="N21" s="63"/>
    </row>
    <row r="22" spans="2:14" ht="15.75" customHeight="1">
      <c r="B22" s="16"/>
      <c r="C22" s="67"/>
      <c r="D22" s="67"/>
      <c r="E22" s="6"/>
      <c r="F22" s="8"/>
      <c r="G22" s="66"/>
      <c r="H22" s="66"/>
      <c r="I22" s="6"/>
      <c r="J22" s="6"/>
      <c r="K22" s="6"/>
      <c r="L22" s="6"/>
      <c r="M22" s="6"/>
      <c r="N22" s="63"/>
    </row>
    <row r="23" spans="2:14" ht="15.75" customHeight="1">
      <c r="B23" s="16"/>
      <c r="C23" s="64"/>
      <c r="D23" s="64"/>
      <c r="E23" s="64"/>
      <c r="F23" s="64"/>
      <c r="G23" s="8"/>
      <c r="H23" s="64"/>
      <c r="I23" s="64"/>
      <c r="J23" s="254"/>
      <c r="K23" s="254"/>
      <c r="L23" s="6"/>
      <c r="M23" s="6"/>
      <c r="N23" s="63"/>
    </row>
    <row r="24" spans="2:14" ht="15" customHeight="1">
      <c r="B24" s="16"/>
      <c r="C24" s="257" t="s">
        <v>951</v>
      </c>
      <c r="D24" s="258"/>
      <c r="E24" s="258"/>
      <c r="F24" s="258"/>
      <c r="G24" s="258"/>
      <c r="H24" s="258"/>
      <c r="I24" s="258"/>
      <c r="J24" s="258"/>
      <c r="K24" s="258"/>
      <c r="L24" s="258"/>
      <c r="M24" s="258"/>
      <c r="N24" s="63"/>
    </row>
    <row r="25" spans="2:14" ht="7.5" customHeight="1">
      <c r="B25" s="16"/>
      <c r="C25" s="135"/>
      <c r="D25" s="135"/>
      <c r="E25" s="39"/>
      <c r="F25" s="136"/>
      <c r="G25" s="40"/>
      <c r="H25" s="137"/>
      <c r="I25" s="137"/>
      <c r="J25" s="138"/>
      <c r="K25" s="138"/>
      <c r="L25" s="39"/>
      <c r="M25" s="39"/>
      <c r="N25" s="63"/>
    </row>
    <row r="26" spans="2:14" ht="9" customHeight="1" thickBot="1">
      <c r="B26" s="16"/>
      <c r="C26" s="139"/>
      <c r="D26" s="139"/>
      <c r="E26" s="21"/>
      <c r="F26" s="140"/>
      <c r="G26" s="141"/>
      <c r="H26" s="142"/>
      <c r="I26" s="142"/>
      <c r="J26" s="143"/>
      <c r="K26" s="143"/>
      <c r="L26" s="21"/>
      <c r="M26" s="21"/>
      <c r="N26" s="63"/>
    </row>
    <row r="27" spans="2:14" ht="45.75" customHeight="1">
      <c r="B27" s="16"/>
      <c r="C27" s="114"/>
      <c r="D27" s="114"/>
      <c r="E27" s="112" t="s">
        <v>49</v>
      </c>
      <c r="F27" s="112" t="s">
        <v>48</v>
      </c>
      <c r="G27" s="112" t="s">
        <v>47</v>
      </c>
      <c r="H27" s="112" t="s">
        <v>46</v>
      </c>
      <c r="I27" s="112" t="s">
        <v>45</v>
      </c>
      <c r="J27" s="112" t="s">
        <v>44</v>
      </c>
      <c r="K27" s="115" t="s">
        <v>43</v>
      </c>
      <c r="L27" s="56"/>
      <c r="M27" s="56"/>
      <c r="N27" s="19"/>
    </row>
    <row r="28" spans="2:14" ht="15" customHeight="1">
      <c r="B28" s="16"/>
      <c r="C28" s="62" t="s">
        <v>17</v>
      </c>
      <c r="D28" s="62"/>
      <c r="E28" s="206"/>
      <c r="F28" s="206"/>
      <c r="G28" s="189"/>
      <c r="H28" s="189"/>
      <c r="I28" s="207"/>
      <c r="J28" s="207"/>
      <c r="K28" s="189"/>
      <c r="L28" s="61"/>
      <c r="M28" s="61"/>
      <c r="N28" s="60"/>
    </row>
    <row r="29" spans="2:14" ht="15" customHeight="1">
      <c r="B29" s="16"/>
      <c r="C29" s="59" t="s">
        <v>16</v>
      </c>
      <c r="D29" s="59"/>
      <c r="E29" s="208"/>
      <c r="F29" s="208"/>
      <c r="G29" s="190"/>
      <c r="H29" s="190"/>
      <c r="I29" s="209"/>
      <c r="J29" s="209"/>
      <c r="K29" s="190"/>
      <c r="L29" s="58"/>
      <c r="M29" s="58"/>
      <c r="N29" s="57"/>
    </row>
    <row r="30" spans="2:14" ht="15" customHeight="1">
      <c r="B30" s="16"/>
      <c r="C30" s="49"/>
      <c r="D30" s="49"/>
      <c r="E30" s="49"/>
      <c r="F30" s="49"/>
      <c r="G30" s="49"/>
      <c r="H30" s="49"/>
      <c r="I30" s="49"/>
      <c r="J30" s="49"/>
      <c r="K30" s="49"/>
      <c r="L30" s="49"/>
      <c r="M30" s="49"/>
      <c r="N30" s="48"/>
    </row>
    <row r="31" spans="2:14" ht="18" customHeight="1" thickBot="1">
      <c r="B31" s="16"/>
      <c r="C31" s="256" t="s">
        <v>952</v>
      </c>
      <c r="D31" s="256"/>
      <c r="E31" s="256"/>
      <c r="F31" s="256"/>
      <c r="G31" s="256"/>
      <c r="H31" s="256"/>
      <c r="I31" s="256"/>
      <c r="J31" s="256"/>
      <c r="K31" s="256"/>
      <c r="L31" s="256"/>
      <c r="M31" s="256"/>
      <c r="N31" s="48"/>
    </row>
    <row r="32" spans="2:14" s="18" customFormat="1" ht="58.5" customHeight="1">
      <c r="B32" s="20"/>
      <c r="C32" s="111" t="s">
        <v>39</v>
      </c>
      <c r="D32" s="111" t="s">
        <v>106</v>
      </c>
      <c r="E32" s="112" t="s">
        <v>934</v>
      </c>
      <c r="F32" s="112" t="s">
        <v>41</v>
      </c>
      <c r="G32" s="112" t="s">
        <v>877</v>
      </c>
      <c r="H32" s="113" t="s">
        <v>935</v>
      </c>
      <c r="I32" s="112" t="s">
        <v>40</v>
      </c>
      <c r="J32" s="112" t="s">
        <v>878</v>
      </c>
      <c r="K32" s="56"/>
      <c r="L32" s="56"/>
      <c r="M32" s="55"/>
      <c r="N32" s="19"/>
    </row>
    <row r="33" spans="2:14" ht="15" customHeight="1">
      <c r="B33" s="16"/>
      <c r="C33" s="147" t="s">
        <v>36</v>
      </c>
      <c r="D33" s="54" t="s">
        <v>35</v>
      </c>
      <c r="E33" s="201"/>
      <c r="F33" s="201"/>
      <c r="G33" s="201"/>
      <c r="H33" s="202"/>
      <c r="I33" s="201"/>
      <c r="J33" s="201"/>
      <c r="K33" s="53"/>
      <c r="L33" s="53"/>
      <c r="M33" s="53"/>
      <c r="N33" s="48"/>
    </row>
    <row r="34" spans="2:14" s="18" customFormat="1" ht="15" customHeight="1">
      <c r="B34" s="20"/>
      <c r="C34" s="44"/>
      <c r="D34" s="44"/>
      <c r="E34" s="44"/>
      <c r="F34" s="44"/>
      <c r="G34" s="41"/>
      <c r="H34" s="43"/>
      <c r="I34" s="41"/>
      <c r="J34" s="41"/>
      <c r="K34" s="42"/>
      <c r="L34" s="42"/>
      <c r="M34" s="41"/>
      <c r="N34" s="19"/>
    </row>
    <row r="35" spans="2:14" ht="15" customHeight="1">
      <c r="B35" s="16"/>
      <c r="C35" s="210" t="s">
        <v>876</v>
      </c>
      <c r="D35" s="52"/>
      <c r="E35" s="50"/>
      <c r="F35" s="50"/>
      <c r="G35" s="50"/>
      <c r="H35" s="51"/>
      <c r="I35" s="50"/>
      <c r="J35" s="50"/>
      <c r="K35" s="49"/>
      <c r="L35" s="49"/>
      <c r="M35" s="49"/>
      <c r="N35" s="48"/>
    </row>
    <row r="36" spans="2:14" ht="15" customHeight="1">
      <c r="B36" s="16"/>
      <c r="C36" s="211"/>
      <c r="D36" s="212"/>
      <c r="E36" s="203"/>
      <c r="F36" s="203"/>
      <c r="G36" s="203"/>
      <c r="H36" s="204"/>
      <c r="I36" s="203"/>
      <c r="J36" s="203"/>
      <c r="K36" s="46"/>
      <c r="L36" s="46"/>
      <c r="M36" s="46"/>
      <c r="N36" s="45"/>
    </row>
    <row r="37" spans="2:14" ht="15" customHeight="1">
      <c r="B37" s="16"/>
      <c r="C37" s="213"/>
      <c r="D37" s="214"/>
      <c r="E37" s="190"/>
      <c r="F37" s="190"/>
      <c r="G37" s="190"/>
      <c r="H37" s="205"/>
      <c r="I37" s="190"/>
      <c r="J37" s="190"/>
      <c r="K37" s="47"/>
      <c r="L37" s="47"/>
      <c r="M37" s="47"/>
      <c r="N37" s="45"/>
    </row>
    <row r="38" spans="2:14" ht="15" customHeight="1">
      <c r="B38" s="16"/>
      <c r="C38" s="211"/>
      <c r="D38" s="212"/>
      <c r="E38" s="203"/>
      <c r="F38" s="203"/>
      <c r="G38" s="203"/>
      <c r="H38" s="204"/>
      <c r="I38" s="203"/>
      <c r="J38" s="203"/>
      <c r="K38" s="46"/>
      <c r="L38" s="46"/>
      <c r="M38" s="46"/>
      <c r="N38" s="45"/>
    </row>
    <row r="39" spans="2:14" ht="15" customHeight="1">
      <c r="B39" s="16"/>
      <c r="C39" s="213"/>
      <c r="D39" s="214"/>
      <c r="E39" s="190"/>
      <c r="F39" s="190"/>
      <c r="G39" s="190"/>
      <c r="H39" s="205"/>
      <c r="I39" s="190"/>
      <c r="J39" s="190"/>
      <c r="K39" s="47"/>
      <c r="L39" s="47"/>
      <c r="M39" s="47"/>
      <c r="N39" s="45"/>
    </row>
    <row r="40" spans="2:14" ht="15" customHeight="1">
      <c r="B40" s="16"/>
      <c r="C40" s="211"/>
      <c r="D40" s="212"/>
      <c r="E40" s="203"/>
      <c r="F40" s="203"/>
      <c r="G40" s="203"/>
      <c r="H40" s="204"/>
      <c r="I40" s="203"/>
      <c r="J40" s="203"/>
      <c r="K40" s="46"/>
      <c r="L40" s="46"/>
      <c r="M40" s="46"/>
      <c r="N40" s="45"/>
    </row>
    <row r="41" spans="2:14" ht="15" customHeight="1">
      <c r="B41" s="16"/>
      <c r="C41" s="213"/>
      <c r="D41" s="214"/>
      <c r="E41" s="190"/>
      <c r="F41" s="190"/>
      <c r="G41" s="190"/>
      <c r="H41" s="205"/>
      <c r="I41" s="190"/>
      <c r="J41" s="190"/>
      <c r="K41" s="47"/>
      <c r="L41" s="47"/>
      <c r="M41" s="47"/>
      <c r="N41" s="45"/>
    </row>
    <row r="42" spans="2:14" ht="15" customHeight="1">
      <c r="B42" s="16"/>
      <c r="C42" s="240"/>
      <c r="D42" s="212"/>
      <c r="E42" s="203"/>
      <c r="F42" s="203"/>
      <c r="G42" s="203"/>
      <c r="H42" s="204"/>
      <c r="I42" s="203"/>
      <c r="J42" s="203"/>
      <c r="K42" s="46"/>
      <c r="L42" s="46"/>
      <c r="M42" s="46"/>
      <c r="N42" s="45"/>
    </row>
    <row r="43" spans="2:14" ht="15" hidden="1" customHeight="1">
      <c r="B43" s="16"/>
      <c r="C43" s="215"/>
      <c r="D43" s="214"/>
      <c r="E43" s="190"/>
      <c r="F43" s="190"/>
      <c r="G43" s="190"/>
      <c r="H43" s="205"/>
      <c r="I43" s="190"/>
      <c r="J43" s="190"/>
      <c r="K43" s="47"/>
      <c r="L43" s="47"/>
      <c r="M43" s="47"/>
      <c r="N43" s="45"/>
    </row>
    <row r="44" spans="2:14" ht="15" customHeight="1">
      <c r="B44" s="16"/>
      <c r="C44" s="144"/>
      <c r="D44" s="144"/>
      <c r="E44" s="145"/>
      <c r="F44" s="145"/>
      <c r="G44" s="145"/>
      <c r="H44" s="145"/>
      <c r="I44" s="145"/>
      <c r="J44" s="145"/>
      <c r="K44" s="145"/>
      <c r="L44" s="145"/>
      <c r="M44" s="145"/>
      <c r="N44" s="45"/>
    </row>
    <row r="45" spans="2:14" s="18" customFormat="1" ht="7.5" customHeight="1" thickBot="1">
      <c r="B45" s="20"/>
      <c r="C45" s="44"/>
      <c r="D45" s="44"/>
      <c r="E45" s="44"/>
      <c r="F45" s="44"/>
      <c r="G45" s="41"/>
      <c r="H45" s="41"/>
      <c r="I45" s="41"/>
      <c r="J45" s="41"/>
      <c r="K45" s="42"/>
      <c r="L45" s="42"/>
      <c r="M45" s="41"/>
      <c r="N45" s="19"/>
    </row>
    <row r="46" spans="2:14" s="18" customFormat="1" ht="54.75" customHeight="1">
      <c r="B46" s="20"/>
      <c r="C46" s="151" t="s">
        <v>39</v>
      </c>
      <c r="D46" s="152" t="s">
        <v>70</v>
      </c>
      <c r="E46" s="153" t="s">
        <v>38</v>
      </c>
      <c r="F46" s="153" t="s">
        <v>37</v>
      </c>
      <c r="G46" s="154" t="s">
        <v>882</v>
      </c>
      <c r="H46" s="155" t="s">
        <v>883</v>
      </c>
      <c r="I46" s="151"/>
      <c r="J46" s="111"/>
      <c r="K46" s="111"/>
      <c r="L46" s="111"/>
      <c r="M46" s="111"/>
      <c r="N46" s="38"/>
    </row>
    <row r="47" spans="2:14" ht="15" customHeight="1">
      <c r="B47" s="16"/>
      <c r="C47" s="148" t="s">
        <v>36</v>
      </c>
      <c r="D47" s="148" t="s">
        <v>35</v>
      </c>
      <c r="E47" s="37"/>
      <c r="F47" s="157"/>
      <c r="G47" s="36"/>
      <c r="H47" s="36" t="s">
        <v>35</v>
      </c>
      <c r="I47" s="36"/>
      <c r="J47" s="36"/>
      <c r="K47" s="36"/>
      <c r="L47" s="36"/>
      <c r="M47" s="36"/>
      <c r="N47" s="35"/>
    </row>
    <row r="48" spans="2:14" ht="15" customHeight="1">
      <c r="B48" s="16"/>
      <c r="C48" s="34"/>
      <c r="D48" s="34"/>
      <c r="E48" s="33"/>
      <c r="F48" s="32"/>
      <c r="G48" s="32"/>
      <c r="H48" s="32"/>
      <c r="I48" s="22"/>
      <c r="J48" s="22"/>
      <c r="K48" s="22"/>
      <c r="L48" s="22"/>
      <c r="M48" s="22"/>
      <c r="N48" s="17"/>
    </row>
    <row r="49" spans="2:14" ht="15" customHeight="1">
      <c r="B49" s="16"/>
      <c r="C49" s="158" t="s">
        <v>876</v>
      </c>
      <c r="D49" s="52"/>
      <c r="E49" s="31"/>
      <c r="F49" s="30"/>
      <c r="G49" s="30"/>
      <c r="H49" s="30"/>
      <c r="I49" s="30"/>
      <c r="J49" s="30"/>
      <c r="K49" s="30"/>
      <c r="L49" s="30"/>
      <c r="M49" s="30"/>
      <c r="N49" s="17"/>
    </row>
    <row r="50" spans="2:14" ht="15" customHeight="1">
      <c r="B50" s="16"/>
      <c r="C50" s="162"/>
      <c r="D50" s="162"/>
      <c r="E50" s="29"/>
      <c r="F50" s="150"/>
      <c r="G50" s="28"/>
      <c r="H50" s="28"/>
      <c r="I50" s="22"/>
      <c r="J50" s="22"/>
      <c r="K50" s="22"/>
      <c r="L50" s="22"/>
      <c r="M50" s="22"/>
      <c r="N50" s="17"/>
    </row>
    <row r="51" spans="2:14" ht="15" customHeight="1">
      <c r="B51" s="16"/>
      <c r="C51" s="163"/>
      <c r="D51" s="163"/>
      <c r="E51" s="26"/>
      <c r="F51" s="149"/>
      <c r="G51" s="25"/>
      <c r="H51" s="25"/>
      <c r="I51" s="25"/>
      <c r="J51" s="25"/>
      <c r="K51" s="25"/>
      <c r="L51" s="25"/>
      <c r="M51" s="25"/>
      <c r="N51" s="17"/>
    </row>
    <row r="52" spans="2:14" ht="15" customHeight="1">
      <c r="B52" s="16"/>
      <c r="C52" s="164"/>
      <c r="D52" s="164"/>
      <c r="E52" s="24"/>
      <c r="F52" s="156"/>
      <c r="G52" s="23"/>
      <c r="H52" s="23"/>
      <c r="I52" s="22"/>
      <c r="J52" s="22"/>
      <c r="K52" s="22"/>
      <c r="L52" s="22"/>
      <c r="M52" s="22"/>
      <c r="N52" s="17"/>
    </row>
    <row r="53" spans="2:14" ht="15" customHeight="1">
      <c r="B53" s="16"/>
      <c r="C53" s="163"/>
      <c r="D53" s="163"/>
      <c r="E53" s="26"/>
      <c r="F53" s="149"/>
      <c r="G53" s="25"/>
      <c r="H53" s="25"/>
      <c r="I53" s="25"/>
      <c r="J53" s="25"/>
      <c r="K53" s="25"/>
      <c r="L53" s="25"/>
      <c r="M53" s="25"/>
      <c r="N53" s="17"/>
    </row>
    <row r="54" spans="2:14" ht="15" customHeight="1">
      <c r="B54" s="16"/>
      <c r="C54" s="164"/>
      <c r="D54" s="164"/>
      <c r="E54" s="24"/>
      <c r="F54" s="156"/>
      <c r="G54" s="23"/>
      <c r="H54" s="23"/>
      <c r="I54" s="22"/>
      <c r="J54" s="22"/>
      <c r="K54" s="22"/>
      <c r="L54" s="22"/>
      <c r="M54" s="22"/>
      <c r="N54" s="17"/>
    </row>
    <row r="55" spans="2:14" ht="15" customHeight="1">
      <c r="B55" s="16"/>
      <c r="C55" s="163"/>
      <c r="D55" s="163"/>
      <c r="E55" s="26"/>
      <c r="F55" s="149"/>
      <c r="G55" s="25"/>
      <c r="H55" s="25"/>
      <c r="I55" s="25"/>
      <c r="J55" s="25"/>
      <c r="K55" s="25"/>
      <c r="L55" s="25"/>
      <c r="M55" s="25"/>
      <c r="N55" s="17"/>
    </row>
    <row r="56" spans="2:14" ht="15" customHeight="1">
      <c r="B56" s="16"/>
      <c r="C56" s="164"/>
      <c r="D56" s="164"/>
      <c r="E56" s="24"/>
      <c r="F56" s="156"/>
      <c r="G56" s="23"/>
      <c r="H56" s="23"/>
      <c r="I56" s="23"/>
      <c r="J56" s="23"/>
      <c r="K56" s="23"/>
      <c r="L56" s="23"/>
      <c r="M56" s="23"/>
      <c r="N56" s="17"/>
    </row>
    <row r="57" spans="2:14" ht="14.25" hidden="1">
      <c r="B57" s="16"/>
      <c r="C57" s="163"/>
      <c r="D57" s="163"/>
      <c r="E57" s="26"/>
      <c r="F57" s="149"/>
      <c r="G57" s="25"/>
      <c r="H57" s="25"/>
      <c r="I57" s="27"/>
      <c r="J57" s="27"/>
      <c r="K57" s="27"/>
      <c r="L57" s="27"/>
      <c r="M57" s="27"/>
      <c r="N57" s="15"/>
    </row>
    <row r="58" spans="2:14" ht="14.25">
      <c r="B58" s="14"/>
      <c r="C58" s="13"/>
      <c r="D58" s="13"/>
      <c r="E58" s="10"/>
      <c r="F58" s="12"/>
      <c r="G58" s="12"/>
      <c r="H58" s="11"/>
      <c r="I58" s="11"/>
      <c r="J58" s="11"/>
      <c r="K58" s="10"/>
      <c r="L58" s="10"/>
      <c r="M58" s="10"/>
      <c r="N58" s="9"/>
    </row>
    <row r="59" spans="2:14">
      <c r="C59" s="255" t="s">
        <v>933</v>
      </c>
      <c r="D59" s="255"/>
      <c r="E59" s="255"/>
      <c r="F59" s="255"/>
      <c r="G59" s="255"/>
      <c r="H59" s="255"/>
      <c r="I59" s="255"/>
      <c r="J59" s="255"/>
      <c r="K59" s="255"/>
      <c r="L59" s="255"/>
      <c r="M59" s="255"/>
    </row>
  </sheetData>
  <sheetProtection password="AE27" sheet="1" objects="1" scenarios="1"/>
  <mergeCells count="6">
    <mergeCell ref="F3:I4"/>
    <mergeCell ref="G5:H5"/>
    <mergeCell ref="J23:K23"/>
    <mergeCell ref="C59:M59"/>
    <mergeCell ref="C31:M31"/>
    <mergeCell ref="C24:M24"/>
  </mergeCells>
  <phoneticPr fontId="3" type="noConversion"/>
  <conditionalFormatting sqref="G28:H29 K28:K29 E33:J33 E36:J43">
    <cfRule type="cellIs" dxfId="1582" priority="1" operator="between">
      <formula>-0.05</formula>
      <formula>0.05</formula>
    </cfRule>
    <cfRule type="cellIs" dxfId="1581" priority="3" operator="lessThan">
      <formula>-0.05</formula>
    </cfRule>
    <cfRule type="cellIs" dxfId="1580" priority="4" operator="greaterThan">
      <formula>0.05</formula>
    </cfRule>
  </conditionalFormatting>
  <printOptions horizontalCentered="1"/>
  <pageMargins left="0.15" right="0.15" top="0.25" bottom="0.25" header="0.3" footer="0"/>
  <pageSetup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_Button_1">
                <anchor moveWithCells="1" sizeWithCells="1">
                  <from>
                    <xdr:col>12</xdr:col>
                    <xdr:colOff>57150</xdr:colOff>
                    <xdr:row>6</xdr:row>
                    <xdr:rowOff>0</xdr:rowOff>
                  </from>
                  <to>
                    <xdr:col>13</xdr:col>
                    <xdr:colOff>0</xdr:colOff>
                    <xdr:row>7</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Print_Button_1">
                <anchor moveWithCells="1" sizeWithCells="1">
                  <from>
                    <xdr:col>10</xdr:col>
                    <xdr:colOff>438150</xdr:colOff>
                    <xdr:row>6</xdr:row>
                    <xdr:rowOff>0</xdr:rowOff>
                  </from>
                  <to>
                    <xdr:col>11</xdr:col>
                    <xdr:colOff>57150</xdr:colOff>
                    <xdr:row>7</xdr:row>
                    <xdr:rowOff>19050</xdr:rowOff>
                  </to>
                </anchor>
              </controlPr>
            </control>
          </mc:Choice>
        </mc:AlternateContent>
        <mc:AlternateContent xmlns:mc="http://schemas.openxmlformats.org/markup-compatibility/2006">
          <mc:Choice Requires="x14">
            <control shapeId="1027" r:id="rId6" name="Drop Down 3">
              <controlPr defaultSize="0" autoLine="0" autoPict="0" macro="[0]!Program_Type_Change">
                <anchor moveWithCells="1">
                  <from>
                    <xdr:col>2</xdr:col>
                    <xdr:colOff>885825</xdr:colOff>
                    <xdr:row>5</xdr:row>
                    <xdr:rowOff>66675</xdr:rowOff>
                  </from>
                  <to>
                    <xdr:col>4</xdr:col>
                    <xdr:colOff>19050</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30"/>
  <sheetViews>
    <sheetView workbookViewId="0">
      <selection activeCell="C8" sqref="C8"/>
    </sheetView>
  </sheetViews>
  <sheetFormatPr defaultRowHeight="14.25"/>
  <cols>
    <col min="1" max="1" width="4" bestFit="1" customWidth="1"/>
    <col min="2" max="2" width="18.875" bestFit="1" customWidth="1"/>
    <col min="3" max="4" width="31.625" bestFit="1" customWidth="1"/>
    <col min="5" max="5" width="7" bestFit="1" customWidth="1"/>
  </cols>
  <sheetData>
    <row r="1" spans="1:5">
      <c r="A1" t="s">
        <v>85</v>
      </c>
      <c r="B1" t="s">
        <v>86</v>
      </c>
      <c r="C1" t="s">
        <v>87</v>
      </c>
      <c r="D1" t="s">
        <v>88</v>
      </c>
      <c r="E1" t="s">
        <v>89</v>
      </c>
    </row>
    <row r="2" spans="1:5">
      <c r="A2">
        <v>1</v>
      </c>
      <c r="B2" t="s">
        <v>90</v>
      </c>
    </row>
    <row r="3" spans="1:5">
      <c r="A3">
        <v>3</v>
      </c>
      <c r="B3" t="s">
        <v>49</v>
      </c>
      <c r="C3" t="s">
        <v>918</v>
      </c>
      <c r="D3" t="s">
        <v>919</v>
      </c>
      <c r="E3" t="s">
        <v>75</v>
      </c>
    </row>
    <row r="4" spans="1:5">
      <c r="A4">
        <v>4</v>
      </c>
      <c r="B4" t="s">
        <v>48</v>
      </c>
      <c r="C4" t="s">
        <v>918</v>
      </c>
      <c r="D4" t="s">
        <v>919</v>
      </c>
      <c r="E4" t="s">
        <v>75</v>
      </c>
    </row>
    <row r="5" spans="1:5">
      <c r="A5">
        <v>5</v>
      </c>
      <c r="B5" t="s">
        <v>91</v>
      </c>
      <c r="C5" t="s">
        <v>918</v>
      </c>
      <c r="D5" t="s">
        <v>919</v>
      </c>
      <c r="E5" t="s">
        <v>75</v>
      </c>
    </row>
    <row r="6" spans="1:5">
      <c r="A6">
        <v>6</v>
      </c>
      <c r="B6" t="s">
        <v>92</v>
      </c>
      <c r="C6" t="s">
        <v>918</v>
      </c>
      <c r="D6" t="s">
        <v>919</v>
      </c>
      <c r="E6" t="s">
        <v>75</v>
      </c>
    </row>
    <row r="7" spans="1:5">
      <c r="A7">
        <v>7</v>
      </c>
      <c r="B7" t="s">
        <v>93</v>
      </c>
      <c r="C7" t="s">
        <v>918</v>
      </c>
      <c r="D7" t="s">
        <v>919</v>
      </c>
      <c r="E7" t="s">
        <v>75</v>
      </c>
    </row>
    <row r="8" spans="1:5">
      <c r="A8">
        <v>8</v>
      </c>
      <c r="B8" t="s">
        <v>94</v>
      </c>
      <c r="C8" t="s">
        <v>918</v>
      </c>
      <c r="D8" t="s">
        <v>919</v>
      </c>
      <c r="E8" t="s">
        <v>75</v>
      </c>
    </row>
    <row r="9" spans="1:5">
      <c r="A9">
        <v>9</v>
      </c>
      <c r="B9" t="s">
        <v>49</v>
      </c>
      <c r="C9" t="s">
        <v>918</v>
      </c>
      <c r="D9" t="s">
        <v>919</v>
      </c>
      <c r="E9" t="s">
        <v>77</v>
      </c>
    </row>
    <row r="10" spans="1:5">
      <c r="A10">
        <v>10</v>
      </c>
      <c r="B10" t="s">
        <v>48</v>
      </c>
      <c r="C10" t="s">
        <v>918</v>
      </c>
      <c r="D10" t="s">
        <v>919</v>
      </c>
      <c r="E10" t="s">
        <v>77</v>
      </c>
    </row>
    <row r="11" spans="1:5">
      <c r="A11">
        <v>11</v>
      </c>
      <c r="B11" t="s">
        <v>91</v>
      </c>
      <c r="C11" t="s">
        <v>918</v>
      </c>
      <c r="D11" t="s">
        <v>919</v>
      </c>
      <c r="E11" t="s">
        <v>77</v>
      </c>
    </row>
    <row r="12" spans="1:5">
      <c r="A12">
        <v>12</v>
      </c>
      <c r="B12" t="s">
        <v>92</v>
      </c>
      <c r="C12" t="s">
        <v>918</v>
      </c>
      <c r="D12" t="s">
        <v>919</v>
      </c>
      <c r="E12" t="s">
        <v>77</v>
      </c>
    </row>
    <row r="13" spans="1:5">
      <c r="A13">
        <v>13</v>
      </c>
      <c r="B13" t="s">
        <v>93</v>
      </c>
      <c r="C13" t="s">
        <v>918</v>
      </c>
      <c r="D13" t="s">
        <v>919</v>
      </c>
      <c r="E13" t="s">
        <v>77</v>
      </c>
    </row>
    <row r="14" spans="1:5">
      <c r="A14">
        <v>14</v>
      </c>
      <c r="B14" t="s">
        <v>94</v>
      </c>
      <c r="C14" t="s">
        <v>918</v>
      </c>
      <c r="D14" t="s">
        <v>919</v>
      </c>
      <c r="E14" t="s">
        <v>77</v>
      </c>
    </row>
    <row r="15" spans="1:5">
      <c r="A15">
        <v>15</v>
      </c>
      <c r="B15" t="s">
        <v>49</v>
      </c>
      <c r="C15" t="s">
        <v>918</v>
      </c>
      <c r="D15" t="s">
        <v>919</v>
      </c>
      <c r="E15" t="s">
        <v>78</v>
      </c>
    </row>
    <row r="16" spans="1:5">
      <c r="A16">
        <v>16</v>
      </c>
      <c r="B16" t="s">
        <v>48</v>
      </c>
      <c r="C16" t="s">
        <v>918</v>
      </c>
      <c r="D16" t="s">
        <v>919</v>
      </c>
      <c r="E16" t="s">
        <v>78</v>
      </c>
    </row>
    <row r="17" spans="1:5">
      <c r="A17">
        <v>17</v>
      </c>
      <c r="B17" t="s">
        <v>91</v>
      </c>
      <c r="C17" t="s">
        <v>918</v>
      </c>
      <c r="D17" t="s">
        <v>919</v>
      </c>
      <c r="E17" t="s">
        <v>78</v>
      </c>
    </row>
    <row r="18" spans="1:5">
      <c r="A18">
        <v>18</v>
      </c>
      <c r="B18" t="s">
        <v>92</v>
      </c>
      <c r="C18" t="s">
        <v>918</v>
      </c>
      <c r="D18" t="s">
        <v>919</v>
      </c>
      <c r="E18" t="s">
        <v>78</v>
      </c>
    </row>
    <row r="19" spans="1:5">
      <c r="A19">
        <v>19</v>
      </c>
      <c r="B19" t="s">
        <v>93</v>
      </c>
      <c r="C19" t="s">
        <v>918</v>
      </c>
      <c r="D19" t="s">
        <v>919</v>
      </c>
      <c r="E19" t="s">
        <v>78</v>
      </c>
    </row>
    <row r="20" spans="1:5">
      <c r="A20">
        <v>20</v>
      </c>
      <c r="B20" t="s">
        <v>94</v>
      </c>
      <c r="C20" t="s">
        <v>918</v>
      </c>
      <c r="D20" t="s">
        <v>919</v>
      </c>
      <c r="E20" t="s">
        <v>78</v>
      </c>
    </row>
    <row r="21" spans="1:5">
      <c r="A21">
        <v>21</v>
      </c>
      <c r="B21" t="s">
        <v>49</v>
      </c>
      <c r="C21" t="s">
        <v>918</v>
      </c>
      <c r="D21" t="s">
        <v>919</v>
      </c>
      <c r="E21" t="s">
        <v>79</v>
      </c>
    </row>
    <row r="22" spans="1:5">
      <c r="A22">
        <v>22</v>
      </c>
      <c r="B22" t="s">
        <v>48</v>
      </c>
      <c r="C22" t="s">
        <v>918</v>
      </c>
      <c r="D22" t="s">
        <v>919</v>
      </c>
      <c r="E22" t="s">
        <v>79</v>
      </c>
    </row>
    <row r="23" spans="1:5">
      <c r="A23">
        <v>23</v>
      </c>
      <c r="B23" t="s">
        <v>91</v>
      </c>
      <c r="C23" t="s">
        <v>918</v>
      </c>
      <c r="D23" t="s">
        <v>919</v>
      </c>
      <c r="E23" t="s">
        <v>79</v>
      </c>
    </row>
    <row r="24" spans="1:5">
      <c r="A24">
        <v>24</v>
      </c>
      <c r="B24" t="s">
        <v>92</v>
      </c>
      <c r="C24" t="s">
        <v>918</v>
      </c>
      <c r="D24" t="s">
        <v>919</v>
      </c>
      <c r="E24" t="s">
        <v>79</v>
      </c>
    </row>
    <row r="25" spans="1:5">
      <c r="A25">
        <v>25</v>
      </c>
      <c r="B25" t="s">
        <v>93</v>
      </c>
      <c r="C25" t="s">
        <v>918</v>
      </c>
      <c r="D25" t="s">
        <v>919</v>
      </c>
      <c r="E25" t="s">
        <v>79</v>
      </c>
    </row>
    <row r="26" spans="1:5">
      <c r="A26">
        <v>26</v>
      </c>
      <c r="B26" t="s">
        <v>94</v>
      </c>
      <c r="C26" t="s">
        <v>918</v>
      </c>
      <c r="D26" t="s">
        <v>919</v>
      </c>
      <c r="E26" t="s">
        <v>79</v>
      </c>
    </row>
    <row r="27" spans="1:5">
      <c r="A27">
        <v>27</v>
      </c>
      <c r="B27" s="128" t="s">
        <v>95</v>
      </c>
      <c r="C27" s="128" t="s">
        <v>15</v>
      </c>
      <c r="D27" s="128" t="s">
        <v>14</v>
      </c>
      <c r="E27" s="128" t="s">
        <v>75</v>
      </c>
    </row>
    <row r="28" spans="1:5">
      <c r="A28">
        <v>28</v>
      </c>
      <c r="B28" t="s">
        <v>11</v>
      </c>
      <c r="C28" t="s">
        <v>918</v>
      </c>
      <c r="D28" t="s">
        <v>918</v>
      </c>
      <c r="E28" t="s">
        <v>75</v>
      </c>
    </row>
    <row r="29" spans="1:5">
      <c r="A29">
        <v>29</v>
      </c>
      <c r="B29" t="s">
        <v>10</v>
      </c>
      <c r="C29" t="s">
        <v>918</v>
      </c>
      <c r="D29" t="s">
        <v>918</v>
      </c>
      <c r="E29" t="s">
        <v>75</v>
      </c>
    </row>
    <row r="30" spans="1:5">
      <c r="A30">
        <v>30</v>
      </c>
      <c r="B30" t="s">
        <v>9</v>
      </c>
      <c r="C30" t="s">
        <v>918</v>
      </c>
      <c r="D30" t="s">
        <v>918</v>
      </c>
      <c r="E30" t="s">
        <v>75</v>
      </c>
    </row>
    <row r="31" spans="1:5">
      <c r="A31">
        <v>31</v>
      </c>
      <c r="B31" t="s">
        <v>8</v>
      </c>
      <c r="C31" t="s">
        <v>918</v>
      </c>
      <c r="D31" t="s">
        <v>918</v>
      </c>
      <c r="E31" t="s">
        <v>75</v>
      </c>
    </row>
    <row r="32" spans="1:5">
      <c r="A32">
        <v>32</v>
      </c>
      <c r="B32" t="s">
        <v>7</v>
      </c>
      <c r="C32" t="s">
        <v>918</v>
      </c>
      <c r="D32" t="s">
        <v>918</v>
      </c>
      <c r="E32" t="s">
        <v>75</v>
      </c>
    </row>
    <row r="33" spans="1:5">
      <c r="A33">
        <v>33</v>
      </c>
      <c r="B33" t="s">
        <v>6</v>
      </c>
      <c r="C33" t="s">
        <v>918</v>
      </c>
      <c r="D33" t="s">
        <v>918</v>
      </c>
      <c r="E33" t="s">
        <v>75</v>
      </c>
    </row>
    <row r="34" spans="1:5">
      <c r="A34">
        <v>34</v>
      </c>
      <c r="B34" t="s">
        <v>5</v>
      </c>
      <c r="C34" t="s">
        <v>918</v>
      </c>
      <c r="D34" t="s">
        <v>918</v>
      </c>
      <c r="E34" t="s">
        <v>75</v>
      </c>
    </row>
    <row r="35" spans="1:5">
      <c r="A35">
        <v>35</v>
      </c>
      <c r="B35" t="s">
        <v>4</v>
      </c>
      <c r="C35" t="s">
        <v>918</v>
      </c>
      <c r="D35" t="s">
        <v>918</v>
      </c>
      <c r="E35" t="s">
        <v>75</v>
      </c>
    </row>
    <row r="36" spans="1:5">
      <c r="A36">
        <v>36</v>
      </c>
      <c r="B36" t="s">
        <v>3</v>
      </c>
      <c r="C36" t="s">
        <v>918</v>
      </c>
      <c r="D36" t="s">
        <v>918</v>
      </c>
      <c r="E36" t="s">
        <v>75</v>
      </c>
    </row>
    <row r="37" spans="1:5">
      <c r="A37">
        <v>37</v>
      </c>
      <c r="B37" t="s">
        <v>2</v>
      </c>
      <c r="C37" t="s">
        <v>918</v>
      </c>
      <c r="D37" t="s">
        <v>918</v>
      </c>
      <c r="E37" t="s">
        <v>75</v>
      </c>
    </row>
    <row r="38" spans="1:5">
      <c r="A38">
        <v>38</v>
      </c>
      <c r="B38" t="s">
        <v>1</v>
      </c>
      <c r="C38" t="s">
        <v>918</v>
      </c>
      <c r="D38" t="s">
        <v>918</v>
      </c>
      <c r="E38" t="s">
        <v>75</v>
      </c>
    </row>
    <row r="39" spans="1:5">
      <c r="A39">
        <v>39</v>
      </c>
      <c r="B39" t="s">
        <v>0</v>
      </c>
      <c r="C39" t="s">
        <v>918</v>
      </c>
      <c r="D39" t="s">
        <v>918</v>
      </c>
      <c r="E39" t="s">
        <v>75</v>
      </c>
    </row>
    <row r="40" spans="1:5">
      <c r="A40">
        <v>40</v>
      </c>
      <c r="B40" s="128" t="s">
        <v>95</v>
      </c>
      <c r="C40" s="128" t="s">
        <v>13</v>
      </c>
      <c r="D40" s="128" t="s">
        <v>12</v>
      </c>
      <c r="E40" s="128" t="s">
        <v>75</v>
      </c>
    </row>
    <row r="41" spans="1:5">
      <c r="A41">
        <v>41</v>
      </c>
      <c r="B41" t="s">
        <v>11</v>
      </c>
      <c r="C41" t="s">
        <v>919</v>
      </c>
      <c r="D41" t="s">
        <v>919</v>
      </c>
      <c r="E41" t="s">
        <v>75</v>
      </c>
    </row>
    <row r="42" spans="1:5">
      <c r="A42">
        <v>42</v>
      </c>
      <c r="B42" t="s">
        <v>10</v>
      </c>
      <c r="C42" t="s">
        <v>919</v>
      </c>
      <c r="D42" t="s">
        <v>919</v>
      </c>
      <c r="E42" t="s">
        <v>75</v>
      </c>
    </row>
    <row r="43" spans="1:5">
      <c r="A43">
        <v>43</v>
      </c>
      <c r="B43" t="s">
        <v>9</v>
      </c>
      <c r="C43" t="s">
        <v>919</v>
      </c>
      <c r="D43" t="s">
        <v>919</v>
      </c>
      <c r="E43" t="s">
        <v>75</v>
      </c>
    </row>
    <row r="44" spans="1:5">
      <c r="A44">
        <v>44</v>
      </c>
      <c r="B44" t="s">
        <v>8</v>
      </c>
      <c r="C44" t="s">
        <v>919</v>
      </c>
      <c r="D44" t="s">
        <v>919</v>
      </c>
      <c r="E44" t="s">
        <v>75</v>
      </c>
    </row>
    <row r="45" spans="1:5">
      <c r="A45">
        <v>45</v>
      </c>
      <c r="B45" t="s">
        <v>7</v>
      </c>
      <c r="C45" t="s">
        <v>919</v>
      </c>
      <c r="D45" t="s">
        <v>919</v>
      </c>
      <c r="E45" t="s">
        <v>75</v>
      </c>
    </row>
    <row r="46" spans="1:5">
      <c r="A46">
        <v>46</v>
      </c>
      <c r="B46" t="s">
        <v>6</v>
      </c>
      <c r="C46" t="s">
        <v>919</v>
      </c>
      <c r="D46" t="s">
        <v>919</v>
      </c>
      <c r="E46" t="s">
        <v>75</v>
      </c>
    </row>
    <row r="47" spans="1:5">
      <c r="A47">
        <v>47</v>
      </c>
      <c r="B47" t="s">
        <v>5</v>
      </c>
      <c r="C47" t="s">
        <v>919</v>
      </c>
      <c r="D47" t="s">
        <v>919</v>
      </c>
      <c r="E47" t="s">
        <v>75</v>
      </c>
    </row>
    <row r="48" spans="1:5">
      <c r="A48">
        <v>48</v>
      </c>
      <c r="B48" t="s">
        <v>4</v>
      </c>
      <c r="C48" t="s">
        <v>919</v>
      </c>
      <c r="D48" t="s">
        <v>919</v>
      </c>
      <c r="E48" t="s">
        <v>75</v>
      </c>
    </row>
    <row r="49" spans="1:5">
      <c r="A49">
        <v>49</v>
      </c>
      <c r="B49" t="s">
        <v>3</v>
      </c>
      <c r="C49" t="s">
        <v>919</v>
      </c>
      <c r="D49" t="s">
        <v>919</v>
      </c>
      <c r="E49" t="s">
        <v>75</v>
      </c>
    </row>
    <row r="50" spans="1:5">
      <c r="A50">
        <v>50</v>
      </c>
      <c r="B50" t="s">
        <v>2</v>
      </c>
      <c r="C50" t="s">
        <v>919</v>
      </c>
      <c r="D50" t="s">
        <v>919</v>
      </c>
      <c r="E50" t="s">
        <v>75</v>
      </c>
    </row>
    <row r="51" spans="1:5">
      <c r="A51">
        <v>51</v>
      </c>
      <c r="B51" t="s">
        <v>1</v>
      </c>
      <c r="C51" t="s">
        <v>919</v>
      </c>
      <c r="D51" t="s">
        <v>919</v>
      </c>
      <c r="E51" t="s">
        <v>75</v>
      </c>
    </row>
    <row r="52" spans="1:5">
      <c r="A52">
        <v>52</v>
      </c>
      <c r="B52" t="s">
        <v>0</v>
      </c>
      <c r="C52" t="s">
        <v>919</v>
      </c>
      <c r="D52" t="s">
        <v>919</v>
      </c>
      <c r="E52" t="s">
        <v>75</v>
      </c>
    </row>
    <row r="53" spans="1:5">
      <c r="A53">
        <v>53</v>
      </c>
      <c r="B53" s="128" t="s">
        <v>95</v>
      </c>
      <c r="C53" s="128" t="s">
        <v>15</v>
      </c>
      <c r="D53" s="128" t="s">
        <v>14</v>
      </c>
      <c r="E53" s="128" t="s">
        <v>77</v>
      </c>
    </row>
    <row r="54" spans="1:5">
      <c r="A54">
        <v>54</v>
      </c>
      <c r="B54" t="s">
        <v>11</v>
      </c>
      <c r="C54" t="s">
        <v>918</v>
      </c>
      <c r="D54" t="s">
        <v>918</v>
      </c>
      <c r="E54" t="s">
        <v>77</v>
      </c>
    </row>
    <row r="55" spans="1:5">
      <c r="A55">
        <v>55</v>
      </c>
      <c r="B55" t="s">
        <v>10</v>
      </c>
      <c r="C55" t="s">
        <v>918</v>
      </c>
      <c r="D55" t="s">
        <v>918</v>
      </c>
      <c r="E55" t="s">
        <v>77</v>
      </c>
    </row>
    <row r="56" spans="1:5">
      <c r="A56">
        <v>56</v>
      </c>
      <c r="B56" t="s">
        <v>9</v>
      </c>
      <c r="C56" t="s">
        <v>918</v>
      </c>
      <c r="D56" t="s">
        <v>918</v>
      </c>
      <c r="E56" t="s">
        <v>77</v>
      </c>
    </row>
    <row r="57" spans="1:5">
      <c r="A57">
        <v>57</v>
      </c>
      <c r="B57" t="s">
        <v>8</v>
      </c>
      <c r="C57" t="s">
        <v>918</v>
      </c>
      <c r="D57" t="s">
        <v>918</v>
      </c>
      <c r="E57" t="s">
        <v>77</v>
      </c>
    </row>
    <row r="58" spans="1:5">
      <c r="A58">
        <v>58</v>
      </c>
      <c r="B58" t="s">
        <v>7</v>
      </c>
      <c r="C58" t="s">
        <v>918</v>
      </c>
      <c r="D58" t="s">
        <v>918</v>
      </c>
      <c r="E58" t="s">
        <v>77</v>
      </c>
    </row>
    <row r="59" spans="1:5">
      <c r="A59">
        <v>59</v>
      </c>
      <c r="B59" t="s">
        <v>6</v>
      </c>
      <c r="C59" t="s">
        <v>918</v>
      </c>
      <c r="D59" t="s">
        <v>918</v>
      </c>
      <c r="E59" t="s">
        <v>77</v>
      </c>
    </row>
    <row r="60" spans="1:5">
      <c r="A60">
        <v>60</v>
      </c>
      <c r="B60" t="s">
        <v>5</v>
      </c>
      <c r="C60" t="s">
        <v>918</v>
      </c>
      <c r="D60" t="s">
        <v>918</v>
      </c>
      <c r="E60" t="s">
        <v>77</v>
      </c>
    </row>
    <row r="61" spans="1:5">
      <c r="A61">
        <v>61</v>
      </c>
      <c r="B61" t="s">
        <v>4</v>
      </c>
      <c r="C61" t="s">
        <v>918</v>
      </c>
      <c r="D61" t="s">
        <v>918</v>
      </c>
      <c r="E61" t="s">
        <v>77</v>
      </c>
    </row>
    <row r="62" spans="1:5">
      <c r="A62">
        <v>62</v>
      </c>
      <c r="B62" t="s">
        <v>3</v>
      </c>
      <c r="C62" t="s">
        <v>918</v>
      </c>
      <c r="D62" t="s">
        <v>918</v>
      </c>
      <c r="E62" t="s">
        <v>77</v>
      </c>
    </row>
    <row r="63" spans="1:5">
      <c r="A63">
        <v>63</v>
      </c>
      <c r="B63" t="s">
        <v>2</v>
      </c>
      <c r="C63" t="s">
        <v>918</v>
      </c>
      <c r="D63" t="s">
        <v>918</v>
      </c>
      <c r="E63" t="s">
        <v>77</v>
      </c>
    </row>
    <row r="64" spans="1:5">
      <c r="A64">
        <v>64</v>
      </c>
      <c r="B64" t="s">
        <v>1</v>
      </c>
      <c r="C64" t="s">
        <v>918</v>
      </c>
      <c r="D64" t="s">
        <v>918</v>
      </c>
      <c r="E64" t="s">
        <v>77</v>
      </c>
    </row>
    <row r="65" spans="1:5">
      <c r="A65">
        <v>65</v>
      </c>
      <c r="B65" t="s">
        <v>0</v>
      </c>
      <c r="C65" t="s">
        <v>918</v>
      </c>
      <c r="D65" t="s">
        <v>918</v>
      </c>
      <c r="E65" t="s">
        <v>77</v>
      </c>
    </row>
    <row r="66" spans="1:5">
      <c r="A66">
        <v>66</v>
      </c>
      <c r="B66" s="128" t="s">
        <v>95</v>
      </c>
      <c r="C66" s="128" t="s">
        <v>13</v>
      </c>
      <c r="D66" s="128" t="s">
        <v>12</v>
      </c>
      <c r="E66" s="128" t="s">
        <v>77</v>
      </c>
    </row>
    <row r="67" spans="1:5">
      <c r="A67">
        <v>67</v>
      </c>
      <c r="B67" t="s">
        <v>11</v>
      </c>
      <c r="C67" t="s">
        <v>919</v>
      </c>
      <c r="D67" t="s">
        <v>919</v>
      </c>
      <c r="E67" t="s">
        <v>77</v>
      </c>
    </row>
    <row r="68" spans="1:5">
      <c r="A68">
        <v>68</v>
      </c>
      <c r="B68" t="s">
        <v>10</v>
      </c>
      <c r="C68" t="s">
        <v>919</v>
      </c>
      <c r="D68" t="s">
        <v>919</v>
      </c>
      <c r="E68" t="s">
        <v>77</v>
      </c>
    </row>
    <row r="69" spans="1:5">
      <c r="A69">
        <v>69</v>
      </c>
      <c r="B69" t="s">
        <v>9</v>
      </c>
      <c r="C69" t="s">
        <v>919</v>
      </c>
      <c r="D69" t="s">
        <v>919</v>
      </c>
      <c r="E69" t="s">
        <v>77</v>
      </c>
    </row>
    <row r="70" spans="1:5">
      <c r="A70">
        <v>70</v>
      </c>
      <c r="B70" t="s">
        <v>8</v>
      </c>
      <c r="C70" t="s">
        <v>919</v>
      </c>
      <c r="D70" t="s">
        <v>919</v>
      </c>
      <c r="E70" t="s">
        <v>77</v>
      </c>
    </row>
    <row r="71" spans="1:5">
      <c r="A71">
        <v>71</v>
      </c>
      <c r="B71" t="s">
        <v>7</v>
      </c>
      <c r="C71" t="s">
        <v>919</v>
      </c>
      <c r="D71" t="s">
        <v>919</v>
      </c>
      <c r="E71" t="s">
        <v>77</v>
      </c>
    </row>
    <row r="72" spans="1:5">
      <c r="A72">
        <v>72</v>
      </c>
      <c r="B72" t="s">
        <v>6</v>
      </c>
      <c r="C72" t="s">
        <v>919</v>
      </c>
      <c r="D72" t="s">
        <v>919</v>
      </c>
      <c r="E72" t="s">
        <v>77</v>
      </c>
    </row>
    <row r="73" spans="1:5">
      <c r="A73">
        <v>73</v>
      </c>
      <c r="B73" t="s">
        <v>5</v>
      </c>
      <c r="C73" t="s">
        <v>919</v>
      </c>
      <c r="D73" t="s">
        <v>919</v>
      </c>
      <c r="E73" t="s">
        <v>77</v>
      </c>
    </row>
    <row r="74" spans="1:5">
      <c r="A74">
        <v>74</v>
      </c>
      <c r="B74" t="s">
        <v>4</v>
      </c>
      <c r="C74" t="s">
        <v>919</v>
      </c>
      <c r="D74" t="s">
        <v>919</v>
      </c>
      <c r="E74" t="s">
        <v>77</v>
      </c>
    </row>
    <row r="75" spans="1:5">
      <c r="A75">
        <v>75</v>
      </c>
      <c r="B75" t="s">
        <v>3</v>
      </c>
      <c r="C75" t="s">
        <v>919</v>
      </c>
      <c r="D75" t="s">
        <v>919</v>
      </c>
      <c r="E75" t="s">
        <v>77</v>
      </c>
    </row>
    <row r="76" spans="1:5">
      <c r="A76">
        <v>76</v>
      </c>
      <c r="B76" t="s">
        <v>2</v>
      </c>
      <c r="C76" t="s">
        <v>919</v>
      </c>
      <c r="D76" t="s">
        <v>919</v>
      </c>
      <c r="E76" t="s">
        <v>77</v>
      </c>
    </row>
    <row r="77" spans="1:5">
      <c r="A77">
        <v>77</v>
      </c>
      <c r="B77" t="s">
        <v>1</v>
      </c>
      <c r="C77" t="s">
        <v>919</v>
      </c>
      <c r="D77" t="s">
        <v>919</v>
      </c>
      <c r="E77" t="s">
        <v>77</v>
      </c>
    </row>
    <row r="78" spans="1:5">
      <c r="A78">
        <v>78</v>
      </c>
      <c r="B78" t="s">
        <v>0</v>
      </c>
      <c r="C78" t="s">
        <v>919</v>
      </c>
      <c r="D78" t="s">
        <v>919</v>
      </c>
      <c r="E78" t="s">
        <v>77</v>
      </c>
    </row>
    <row r="79" spans="1:5">
      <c r="A79">
        <v>79</v>
      </c>
      <c r="B79" s="128" t="s">
        <v>95</v>
      </c>
      <c r="C79" s="128" t="s">
        <v>15</v>
      </c>
      <c r="D79" s="128" t="s">
        <v>14</v>
      </c>
      <c r="E79" s="128" t="s">
        <v>78</v>
      </c>
    </row>
    <row r="80" spans="1:5">
      <c r="A80">
        <v>80</v>
      </c>
      <c r="B80" t="s">
        <v>11</v>
      </c>
      <c r="C80" t="s">
        <v>918</v>
      </c>
      <c r="D80" t="s">
        <v>918</v>
      </c>
      <c r="E80" t="s">
        <v>78</v>
      </c>
    </row>
    <row r="81" spans="1:5">
      <c r="A81">
        <v>81</v>
      </c>
      <c r="B81" t="s">
        <v>10</v>
      </c>
      <c r="C81" t="s">
        <v>918</v>
      </c>
      <c r="D81" t="s">
        <v>918</v>
      </c>
      <c r="E81" t="s">
        <v>78</v>
      </c>
    </row>
    <row r="82" spans="1:5">
      <c r="A82">
        <v>82</v>
      </c>
      <c r="B82" t="s">
        <v>9</v>
      </c>
      <c r="C82" t="s">
        <v>918</v>
      </c>
      <c r="D82" t="s">
        <v>918</v>
      </c>
      <c r="E82" t="s">
        <v>78</v>
      </c>
    </row>
    <row r="83" spans="1:5">
      <c r="A83">
        <v>83</v>
      </c>
      <c r="B83" t="s">
        <v>8</v>
      </c>
      <c r="C83" t="s">
        <v>918</v>
      </c>
      <c r="D83" t="s">
        <v>918</v>
      </c>
      <c r="E83" t="s">
        <v>78</v>
      </c>
    </row>
    <row r="84" spans="1:5">
      <c r="A84">
        <v>84</v>
      </c>
      <c r="B84" t="s">
        <v>7</v>
      </c>
      <c r="C84" t="s">
        <v>918</v>
      </c>
      <c r="D84" t="s">
        <v>918</v>
      </c>
      <c r="E84" t="s">
        <v>78</v>
      </c>
    </row>
    <row r="85" spans="1:5">
      <c r="A85">
        <v>85</v>
      </c>
      <c r="B85" t="s">
        <v>6</v>
      </c>
      <c r="C85" t="s">
        <v>918</v>
      </c>
      <c r="D85" t="s">
        <v>918</v>
      </c>
      <c r="E85" t="s">
        <v>78</v>
      </c>
    </row>
    <row r="86" spans="1:5">
      <c r="A86">
        <v>86</v>
      </c>
      <c r="B86" t="s">
        <v>5</v>
      </c>
      <c r="C86" t="s">
        <v>918</v>
      </c>
      <c r="D86" t="s">
        <v>918</v>
      </c>
      <c r="E86" t="s">
        <v>78</v>
      </c>
    </row>
    <row r="87" spans="1:5">
      <c r="A87">
        <v>87</v>
      </c>
      <c r="B87" t="s">
        <v>4</v>
      </c>
      <c r="C87" t="s">
        <v>918</v>
      </c>
      <c r="D87" t="s">
        <v>918</v>
      </c>
      <c r="E87" t="s">
        <v>78</v>
      </c>
    </row>
    <row r="88" spans="1:5">
      <c r="A88">
        <v>88</v>
      </c>
      <c r="B88" t="s">
        <v>3</v>
      </c>
      <c r="C88" t="s">
        <v>918</v>
      </c>
      <c r="D88" t="s">
        <v>918</v>
      </c>
      <c r="E88" t="s">
        <v>78</v>
      </c>
    </row>
    <row r="89" spans="1:5">
      <c r="A89">
        <v>89</v>
      </c>
      <c r="B89" t="s">
        <v>2</v>
      </c>
      <c r="C89" t="s">
        <v>918</v>
      </c>
      <c r="D89" t="s">
        <v>918</v>
      </c>
      <c r="E89" t="s">
        <v>78</v>
      </c>
    </row>
    <row r="90" spans="1:5">
      <c r="A90">
        <v>90</v>
      </c>
      <c r="B90" t="s">
        <v>1</v>
      </c>
      <c r="C90" t="s">
        <v>918</v>
      </c>
      <c r="D90" t="s">
        <v>918</v>
      </c>
      <c r="E90" t="s">
        <v>78</v>
      </c>
    </row>
    <row r="91" spans="1:5">
      <c r="A91">
        <v>91</v>
      </c>
      <c r="B91" t="s">
        <v>0</v>
      </c>
      <c r="C91" t="s">
        <v>918</v>
      </c>
      <c r="D91" t="s">
        <v>918</v>
      </c>
      <c r="E91" t="s">
        <v>78</v>
      </c>
    </row>
    <row r="92" spans="1:5">
      <c r="A92">
        <v>92</v>
      </c>
      <c r="B92" s="128" t="s">
        <v>95</v>
      </c>
      <c r="C92" s="128" t="s">
        <v>13</v>
      </c>
      <c r="D92" s="128" t="s">
        <v>12</v>
      </c>
      <c r="E92" s="128" t="s">
        <v>78</v>
      </c>
    </row>
    <row r="93" spans="1:5">
      <c r="A93">
        <v>93</v>
      </c>
      <c r="B93" t="s">
        <v>11</v>
      </c>
      <c r="C93" t="s">
        <v>919</v>
      </c>
      <c r="D93" t="s">
        <v>919</v>
      </c>
      <c r="E93" t="s">
        <v>78</v>
      </c>
    </row>
    <row r="94" spans="1:5">
      <c r="A94">
        <v>94</v>
      </c>
      <c r="B94" t="s">
        <v>10</v>
      </c>
      <c r="C94" t="s">
        <v>919</v>
      </c>
      <c r="D94" t="s">
        <v>919</v>
      </c>
      <c r="E94" t="s">
        <v>78</v>
      </c>
    </row>
    <row r="95" spans="1:5">
      <c r="A95">
        <v>95</v>
      </c>
      <c r="B95" t="s">
        <v>9</v>
      </c>
      <c r="C95" t="s">
        <v>919</v>
      </c>
      <c r="D95" t="s">
        <v>919</v>
      </c>
      <c r="E95" t="s">
        <v>78</v>
      </c>
    </row>
    <row r="96" spans="1:5">
      <c r="A96">
        <v>96</v>
      </c>
      <c r="B96" t="s">
        <v>8</v>
      </c>
      <c r="C96" t="s">
        <v>919</v>
      </c>
      <c r="D96" t="s">
        <v>919</v>
      </c>
      <c r="E96" t="s">
        <v>78</v>
      </c>
    </row>
    <row r="97" spans="1:5">
      <c r="A97">
        <v>97</v>
      </c>
      <c r="B97" t="s">
        <v>7</v>
      </c>
      <c r="C97" t="s">
        <v>919</v>
      </c>
      <c r="D97" t="s">
        <v>919</v>
      </c>
      <c r="E97" t="s">
        <v>78</v>
      </c>
    </row>
    <row r="98" spans="1:5">
      <c r="A98">
        <v>98</v>
      </c>
      <c r="B98" t="s">
        <v>6</v>
      </c>
      <c r="C98" t="s">
        <v>919</v>
      </c>
      <c r="D98" t="s">
        <v>919</v>
      </c>
      <c r="E98" t="s">
        <v>78</v>
      </c>
    </row>
    <row r="99" spans="1:5">
      <c r="A99">
        <v>99</v>
      </c>
      <c r="B99" t="s">
        <v>5</v>
      </c>
      <c r="C99" t="s">
        <v>919</v>
      </c>
      <c r="D99" t="s">
        <v>919</v>
      </c>
      <c r="E99" t="s">
        <v>78</v>
      </c>
    </row>
    <row r="100" spans="1:5">
      <c r="A100">
        <v>100</v>
      </c>
      <c r="B100" t="s">
        <v>4</v>
      </c>
      <c r="C100" t="s">
        <v>919</v>
      </c>
      <c r="D100" t="s">
        <v>919</v>
      </c>
      <c r="E100" t="s">
        <v>78</v>
      </c>
    </row>
    <row r="101" spans="1:5">
      <c r="A101">
        <v>101</v>
      </c>
      <c r="B101" t="s">
        <v>3</v>
      </c>
      <c r="C101" t="s">
        <v>919</v>
      </c>
      <c r="D101" t="s">
        <v>919</v>
      </c>
      <c r="E101" t="s">
        <v>78</v>
      </c>
    </row>
    <row r="102" spans="1:5">
      <c r="A102">
        <v>102</v>
      </c>
      <c r="B102" t="s">
        <v>2</v>
      </c>
      <c r="C102" t="s">
        <v>919</v>
      </c>
      <c r="D102" t="s">
        <v>919</v>
      </c>
      <c r="E102" t="s">
        <v>78</v>
      </c>
    </row>
    <row r="103" spans="1:5">
      <c r="A103">
        <v>103</v>
      </c>
      <c r="B103" t="s">
        <v>1</v>
      </c>
      <c r="C103" t="s">
        <v>919</v>
      </c>
      <c r="D103" t="s">
        <v>919</v>
      </c>
      <c r="E103" t="s">
        <v>78</v>
      </c>
    </row>
    <row r="104" spans="1:5">
      <c r="A104">
        <v>104</v>
      </c>
      <c r="B104" t="s">
        <v>0</v>
      </c>
      <c r="C104" t="s">
        <v>919</v>
      </c>
      <c r="D104" t="s">
        <v>919</v>
      </c>
      <c r="E104" t="s">
        <v>78</v>
      </c>
    </row>
    <row r="105" spans="1:5">
      <c r="A105">
        <v>105</v>
      </c>
      <c r="B105" s="128" t="s">
        <v>95</v>
      </c>
      <c r="C105" s="128" t="s">
        <v>15</v>
      </c>
      <c r="D105" s="128" t="s">
        <v>14</v>
      </c>
      <c r="E105" s="128" t="s">
        <v>79</v>
      </c>
    </row>
    <row r="106" spans="1:5">
      <c r="A106">
        <v>106</v>
      </c>
      <c r="B106" t="s">
        <v>11</v>
      </c>
      <c r="C106" t="s">
        <v>918</v>
      </c>
      <c r="D106" t="s">
        <v>918</v>
      </c>
      <c r="E106" t="s">
        <v>79</v>
      </c>
    </row>
    <row r="107" spans="1:5">
      <c r="A107">
        <v>107</v>
      </c>
      <c r="B107" t="s">
        <v>10</v>
      </c>
      <c r="C107" t="s">
        <v>918</v>
      </c>
      <c r="D107" t="s">
        <v>918</v>
      </c>
      <c r="E107" t="s">
        <v>79</v>
      </c>
    </row>
    <row r="108" spans="1:5">
      <c r="A108">
        <v>108</v>
      </c>
      <c r="B108" t="s">
        <v>9</v>
      </c>
      <c r="C108" t="s">
        <v>918</v>
      </c>
      <c r="D108" t="s">
        <v>918</v>
      </c>
      <c r="E108" t="s">
        <v>79</v>
      </c>
    </row>
    <row r="109" spans="1:5">
      <c r="A109">
        <v>109</v>
      </c>
      <c r="B109" t="s">
        <v>8</v>
      </c>
      <c r="C109" t="s">
        <v>918</v>
      </c>
      <c r="D109" t="s">
        <v>918</v>
      </c>
      <c r="E109" t="s">
        <v>79</v>
      </c>
    </row>
    <row r="110" spans="1:5">
      <c r="A110">
        <v>110</v>
      </c>
      <c r="B110" t="s">
        <v>7</v>
      </c>
      <c r="C110" t="s">
        <v>918</v>
      </c>
      <c r="D110" t="s">
        <v>918</v>
      </c>
      <c r="E110" t="s">
        <v>79</v>
      </c>
    </row>
    <row r="111" spans="1:5">
      <c r="A111">
        <v>111</v>
      </c>
      <c r="B111" t="s">
        <v>6</v>
      </c>
      <c r="C111" t="s">
        <v>918</v>
      </c>
      <c r="D111" t="s">
        <v>918</v>
      </c>
      <c r="E111" t="s">
        <v>79</v>
      </c>
    </row>
    <row r="112" spans="1:5">
      <c r="A112">
        <v>112</v>
      </c>
      <c r="B112" t="s">
        <v>5</v>
      </c>
      <c r="C112" t="s">
        <v>918</v>
      </c>
      <c r="D112" t="s">
        <v>918</v>
      </c>
      <c r="E112" t="s">
        <v>79</v>
      </c>
    </row>
    <row r="113" spans="1:5">
      <c r="A113">
        <v>113</v>
      </c>
      <c r="B113" t="s">
        <v>4</v>
      </c>
      <c r="C113" t="s">
        <v>918</v>
      </c>
      <c r="D113" t="s">
        <v>918</v>
      </c>
      <c r="E113" t="s">
        <v>79</v>
      </c>
    </row>
    <row r="114" spans="1:5">
      <c r="A114">
        <v>114</v>
      </c>
      <c r="B114" t="s">
        <v>3</v>
      </c>
      <c r="C114" t="s">
        <v>918</v>
      </c>
      <c r="D114" t="s">
        <v>918</v>
      </c>
      <c r="E114" t="s">
        <v>79</v>
      </c>
    </row>
    <row r="115" spans="1:5">
      <c r="A115">
        <v>115</v>
      </c>
      <c r="B115" t="s">
        <v>2</v>
      </c>
      <c r="C115" t="s">
        <v>918</v>
      </c>
      <c r="D115" t="s">
        <v>918</v>
      </c>
      <c r="E115" t="s">
        <v>79</v>
      </c>
    </row>
    <row r="116" spans="1:5">
      <c r="A116">
        <v>116</v>
      </c>
      <c r="B116" t="s">
        <v>1</v>
      </c>
      <c r="C116" t="s">
        <v>918</v>
      </c>
      <c r="D116" t="s">
        <v>918</v>
      </c>
      <c r="E116" t="s">
        <v>79</v>
      </c>
    </row>
    <row r="117" spans="1:5">
      <c r="A117">
        <v>117</v>
      </c>
      <c r="B117" t="s">
        <v>0</v>
      </c>
      <c r="C117" t="s">
        <v>918</v>
      </c>
      <c r="D117" t="s">
        <v>918</v>
      </c>
      <c r="E117" t="s">
        <v>79</v>
      </c>
    </row>
    <row r="118" spans="1:5">
      <c r="A118">
        <v>118</v>
      </c>
      <c r="B118" s="128" t="s">
        <v>95</v>
      </c>
      <c r="C118" s="128" t="s">
        <v>13</v>
      </c>
      <c r="D118" s="128" t="s">
        <v>12</v>
      </c>
      <c r="E118" s="128" t="s">
        <v>79</v>
      </c>
    </row>
    <row r="119" spans="1:5">
      <c r="A119">
        <v>119</v>
      </c>
      <c r="B119" t="s">
        <v>11</v>
      </c>
      <c r="C119" t="s">
        <v>919</v>
      </c>
      <c r="D119" t="s">
        <v>919</v>
      </c>
      <c r="E119" t="s">
        <v>79</v>
      </c>
    </row>
    <row r="120" spans="1:5">
      <c r="A120">
        <v>120</v>
      </c>
      <c r="B120" t="s">
        <v>10</v>
      </c>
      <c r="C120" t="s">
        <v>919</v>
      </c>
      <c r="D120" t="s">
        <v>919</v>
      </c>
      <c r="E120" t="s">
        <v>79</v>
      </c>
    </row>
    <row r="121" spans="1:5">
      <c r="A121">
        <v>121</v>
      </c>
      <c r="B121" t="s">
        <v>9</v>
      </c>
      <c r="C121" t="s">
        <v>919</v>
      </c>
      <c r="D121" t="s">
        <v>919</v>
      </c>
      <c r="E121" t="s">
        <v>79</v>
      </c>
    </row>
    <row r="122" spans="1:5">
      <c r="A122">
        <v>122</v>
      </c>
      <c r="B122" t="s">
        <v>8</v>
      </c>
      <c r="C122" t="s">
        <v>919</v>
      </c>
      <c r="D122" t="s">
        <v>919</v>
      </c>
      <c r="E122" t="s">
        <v>79</v>
      </c>
    </row>
    <row r="123" spans="1:5">
      <c r="A123">
        <v>123</v>
      </c>
      <c r="B123" t="s">
        <v>7</v>
      </c>
      <c r="C123" t="s">
        <v>919</v>
      </c>
      <c r="D123" t="s">
        <v>919</v>
      </c>
      <c r="E123" t="s">
        <v>79</v>
      </c>
    </row>
    <row r="124" spans="1:5">
      <c r="A124">
        <v>124</v>
      </c>
      <c r="B124" t="s">
        <v>6</v>
      </c>
      <c r="C124" t="s">
        <v>919</v>
      </c>
      <c r="D124" t="s">
        <v>919</v>
      </c>
      <c r="E124" t="s">
        <v>79</v>
      </c>
    </row>
    <row r="125" spans="1:5">
      <c r="A125">
        <v>125</v>
      </c>
      <c r="B125" t="s">
        <v>5</v>
      </c>
      <c r="C125" t="s">
        <v>919</v>
      </c>
      <c r="D125" t="s">
        <v>919</v>
      </c>
      <c r="E125" t="s">
        <v>79</v>
      </c>
    </row>
    <row r="126" spans="1:5">
      <c r="A126">
        <v>126</v>
      </c>
      <c r="B126" t="s">
        <v>4</v>
      </c>
      <c r="C126" t="s">
        <v>919</v>
      </c>
      <c r="D126" t="s">
        <v>919</v>
      </c>
      <c r="E126" t="s">
        <v>79</v>
      </c>
    </row>
    <row r="127" spans="1:5">
      <c r="A127">
        <v>127</v>
      </c>
      <c r="B127" t="s">
        <v>3</v>
      </c>
      <c r="C127" t="s">
        <v>919</v>
      </c>
      <c r="D127" t="s">
        <v>919</v>
      </c>
      <c r="E127" t="s">
        <v>79</v>
      </c>
    </row>
    <row r="128" spans="1:5">
      <c r="A128">
        <v>128</v>
      </c>
      <c r="B128" t="s">
        <v>2</v>
      </c>
      <c r="C128" t="s">
        <v>919</v>
      </c>
      <c r="D128" t="s">
        <v>919</v>
      </c>
      <c r="E128" t="s">
        <v>79</v>
      </c>
    </row>
    <row r="129" spans="1:5">
      <c r="A129">
        <v>129</v>
      </c>
      <c r="B129" t="s">
        <v>1</v>
      </c>
      <c r="C129" t="s">
        <v>919</v>
      </c>
      <c r="D129" t="s">
        <v>919</v>
      </c>
      <c r="E129" t="s">
        <v>79</v>
      </c>
    </row>
    <row r="130" spans="1:5">
      <c r="A130">
        <v>130</v>
      </c>
      <c r="B130" t="s">
        <v>0</v>
      </c>
      <c r="C130" t="s">
        <v>919</v>
      </c>
      <c r="D130" t="s">
        <v>919</v>
      </c>
      <c r="E130" t="s">
        <v>79</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30"/>
  <sheetViews>
    <sheetView workbookViewId="0">
      <selection activeCell="E1" sqref="E1:E1048576"/>
    </sheetView>
  </sheetViews>
  <sheetFormatPr defaultRowHeight="14.25"/>
  <cols>
    <col min="1" max="1" width="4" bestFit="1" customWidth="1"/>
    <col min="2" max="2" width="18.875" bestFit="1" customWidth="1"/>
    <col min="3" max="4" width="16.625" bestFit="1" customWidth="1"/>
    <col min="5" max="5" width="7" bestFit="1" customWidth="1"/>
  </cols>
  <sheetData>
    <row r="1" spans="1:5">
      <c r="A1" t="s">
        <v>85</v>
      </c>
      <c r="B1" t="s">
        <v>86</v>
      </c>
      <c r="C1" t="s">
        <v>87</v>
      </c>
      <c r="D1" t="s">
        <v>88</v>
      </c>
      <c r="E1" t="s">
        <v>89</v>
      </c>
    </row>
    <row r="2" spans="1:5">
      <c r="A2" s="243">
        <v>1</v>
      </c>
      <c r="B2" s="244"/>
    </row>
    <row r="3" spans="1:5">
      <c r="A3" s="243">
        <v>3</v>
      </c>
      <c r="B3" s="243"/>
      <c r="C3" s="243"/>
      <c r="D3" s="243"/>
      <c r="E3" s="243"/>
    </row>
    <row r="4" spans="1:5">
      <c r="A4" s="245">
        <v>4</v>
      </c>
      <c r="B4" s="243"/>
      <c r="C4" s="243"/>
      <c r="D4" s="243"/>
      <c r="E4" s="243"/>
    </row>
    <row r="5" spans="1:5">
      <c r="A5" s="245">
        <v>5</v>
      </c>
      <c r="B5" s="243"/>
      <c r="C5" s="243"/>
      <c r="D5" s="243"/>
      <c r="E5" s="243"/>
    </row>
    <row r="6" spans="1:5">
      <c r="A6" s="245">
        <v>6</v>
      </c>
      <c r="B6" s="243"/>
      <c r="C6" s="243"/>
      <c r="D6" s="243"/>
      <c r="E6" s="243"/>
    </row>
    <row r="7" spans="1:5">
      <c r="A7" s="245">
        <v>7</v>
      </c>
      <c r="B7" s="243"/>
      <c r="C7" s="243"/>
      <c r="D7" s="243"/>
      <c r="E7" s="243"/>
    </row>
    <row r="8" spans="1:5">
      <c r="A8" s="245">
        <v>8</v>
      </c>
      <c r="B8" s="243"/>
      <c r="C8" s="243"/>
      <c r="D8" s="243"/>
      <c r="E8" s="243"/>
    </row>
    <row r="9" spans="1:5">
      <c r="A9" s="245">
        <v>9</v>
      </c>
      <c r="B9" s="243"/>
      <c r="C9" s="243"/>
      <c r="D9" s="243"/>
      <c r="E9" s="243"/>
    </row>
    <row r="10" spans="1:5">
      <c r="A10" s="245">
        <v>10</v>
      </c>
      <c r="B10" s="243"/>
      <c r="C10" s="243"/>
      <c r="D10" s="243"/>
      <c r="E10" s="243"/>
    </row>
    <row r="11" spans="1:5">
      <c r="A11" s="245">
        <v>11</v>
      </c>
      <c r="B11" s="243"/>
      <c r="C11" s="243"/>
      <c r="D11" s="243"/>
      <c r="E11" s="243"/>
    </row>
    <row r="12" spans="1:5">
      <c r="A12" s="245">
        <v>12</v>
      </c>
      <c r="B12" s="243"/>
      <c r="C12" s="243"/>
      <c r="D12" s="243"/>
      <c r="E12" s="243"/>
    </row>
    <row r="13" spans="1:5">
      <c r="A13" s="245">
        <v>13</v>
      </c>
      <c r="B13" s="243"/>
      <c r="C13" s="243"/>
      <c r="D13" s="243"/>
      <c r="E13" s="243"/>
    </row>
    <row r="14" spans="1:5">
      <c r="A14" s="245">
        <v>14</v>
      </c>
      <c r="B14" s="243"/>
      <c r="C14" s="243"/>
      <c r="D14" s="243"/>
      <c r="E14" s="243"/>
    </row>
    <row r="15" spans="1:5">
      <c r="A15" s="245">
        <v>15</v>
      </c>
      <c r="B15" s="243"/>
      <c r="C15" s="243"/>
      <c r="D15" s="243"/>
      <c r="E15" s="243"/>
    </row>
    <row r="16" spans="1:5">
      <c r="A16" s="245">
        <v>16</v>
      </c>
      <c r="B16" s="243"/>
      <c r="C16" s="243"/>
      <c r="D16" s="243"/>
      <c r="E16" s="243"/>
    </row>
    <row r="17" spans="1:5">
      <c r="A17" s="245">
        <v>17</v>
      </c>
      <c r="B17" s="243"/>
      <c r="C17" s="243"/>
      <c r="D17" s="243"/>
      <c r="E17" s="243"/>
    </row>
    <row r="18" spans="1:5">
      <c r="A18" s="245">
        <v>18</v>
      </c>
      <c r="B18" s="243"/>
      <c r="C18" s="243"/>
      <c r="D18" s="243"/>
      <c r="E18" s="243"/>
    </row>
    <row r="19" spans="1:5">
      <c r="A19" s="245">
        <v>19</v>
      </c>
      <c r="B19" s="243"/>
      <c r="C19" s="243"/>
      <c r="D19" s="243"/>
      <c r="E19" s="243"/>
    </row>
    <row r="20" spans="1:5">
      <c r="A20" s="245">
        <v>20</v>
      </c>
      <c r="B20" s="243"/>
      <c r="C20" s="243"/>
      <c r="D20" s="243"/>
      <c r="E20" s="243"/>
    </row>
    <row r="21" spans="1:5">
      <c r="A21" s="245">
        <v>21</v>
      </c>
      <c r="B21" s="243"/>
      <c r="C21" s="243"/>
      <c r="D21" s="243"/>
      <c r="E21" s="243"/>
    </row>
    <row r="22" spans="1:5">
      <c r="A22" s="245">
        <v>22</v>
      </c>
      <c r="B22" s="243"/>
      <c r="C22" s="243"/>
      <c r="D22" s="243"/>
      <c r="E22" s="243"/>
    </row>
    <row r="23" spans="1:5">
      <c r="A23" s="245">
        <v>23</v>
      </c>
      <c r="B23" s="243"/>
      <c r="C23" s="243"/>
      <c r="D23" s="243"/>
      <c r="E23" s="243"/>
    </row>
    <row r="24" spans="1:5">
      <c r="A24" s="245">
        <v>24</v>
      </c>
      <c r="B24" s="243"/>
      <c r="C24" s="243"/>
      <c r="D24" s="243"/>
      <c r="E24" s="243"/>
    </row>
    <row r="25" spans="1:5">
      <c r="A25" s="245">
        <v>25</v>
      </c>
      <c r="B25" s="243"/>
      <c r="C25" s="243"/>
      <c r="D25" s="243"/>
      <c r="E25" s="243"/>
    </row>
    <row r="26" spans="1:5">
      <c r="A26" s="245">
        <v>26</v>
      </c>
      <c r="B26" s="243"/>
      <c r="C26" s="243"/>
      <c r="D26" s="243"/>
      <c r="E26" s="243"/>
    </row>
    <row r="27" spans="1:5">
      <c r="A27" s="245">
        <v>27</v>
      </c>
      <c r="B27" s="243"/>
      <c r="C27" s="243"/>
      <c r="D27" s="243"/>
      <c r="E27" s="243"/>
    </row>
    <row r="28" spans="1:5">
      <c r="A28" s="245">
        <v>28</v>
      </c>
      <c r="B28" s="243"/>
      <c r="C28" s="243"/>
      <c r="D28" s="243"/>
      <c r="E28" s="243"/>
    </row>
    <row r="29" spans="1:5">
      <c r="A29" s="245">
        <v>29</v>
      </c>
      <c r="B29" s="243"/>
      <c r="C29" s="243"/>
      <c r="D29" s="243"/>
      <c r="E29" s="243"/>
    </row>
    <row r="30" spans="1:5">
      <c r="A30" s="245">
        <v>30</v>
      </c>
      <c r="B30" s="243"/>
      <c r="C30" s="243"/>
      <c r="D30" s="243"/>
      <c r="E30" s="243"/>
    </row>
    <row r="31" spans="1:5">
      <c r="A31" s="245">
        <v>31</v>
      </c>
      <c r="B31" s="243"/>
      <c r="C31" s="243"/>
      <c r="D31" s="243"/>
      <c r="E31" s="243"/>
    </row>
    <row r="32" spans="1:5">
      <c r="A32" s="245">
        <v>32</v>
      </c>
      <c r="B32" s="243"/>
      <c r="C32" s="243"/>
      <c r="D32" s="243"/>
      <c r="E32" s="243"/>
    </row>
    <row r="33" spans="1:5">
      <c r="A33" s="245">
        <v>33</v>
      </c>
      <c r="B33" s="243"/>
      <c r="C33" s="243"/>
      <c r="D33" s="243"/>
      <c r="E33" s="243"/>
    </row>
    <row r="34" spans="1:5">
      <c r="A34" s="245">
        <v>34</v>
      </c>
      <c r="B34" s="243"/>
      <c r="C34" s="243"/>
      <c r="D34" s="243"/>
      <c r="E34" s="243"/>
    </row>
    <row r="35" spans="1:5">
      <c r="A35" s="245">
        <v>35</v>
      </c>
      <c r="B35" s="243"/>
      <c r="C35" s="243"/>
      <c r="D35" s="243"/>
      <c r="E35" s="243"/>
    </row>
    <row r="36" spans="1:5">
      <c r="A36" s="245">
        <v>36</v>
      </c>
      <c r="B36" s="243"/>
      <c r="C36" s="243"/>
      <c r="E36" s="243"/>
    </row>
    <row r="37" spans="1:5">
      <c r="A37" s="245">
        <v>37</v>
      </c>
      <c r="B37" s="243"/>
      <c r="C37" s="243"/>
      <c r="E37" s="243"/>
    </row>
    <row r="38" spans="1:5">
      <c r="A38" s="245">
        <v>38</v>
      </c>
      <c r="B38" s="243"/>
      <c r="C38" s="243"/>
      <c r="E38" s="243"/>
    </row>
    <row r="39" spans="1:5">
      <c r="A39" s="245">
        <v>39</v>
      </c>
      <c r="B39" s="243"/>
      <c r="C39" s="243"/>
      <c r="E39" s="243"/>
    </row>
    <row r="40" spans="1:5">
      <c r="A40" s="245">
        <v>40</v>
      </c>
      <c r="B40" s="243"/>
      <c r="C40" s="243"/>
      <c r="D40" s="243"/>
      <c r="E40" s="243"/>
    </row>
    <row r="41" spans="1:5">
      <c r="A41" s="245">
        <v>41</v>
      </c>
      <c r="B41" s="243"/>
      <c r="C41" s="243"/>
      <c r="D41" s="243"/>
      <c r="E41" s="243"/>
    </row>
    <row r="42" spans="1:5">
      <c r="A42" s="245">
        <v>42</v>
      </c>
      <c r="B42" s="243"/>
      <c r="C42" s="243"/>
      <c r="D42" s="243"/>
      <c r="E42" s="243"/>
    </row>
    <row r="43" spans="1:5">
      <c r="A43" s="245">
        <v>43</v>
      </c>
      <c r="B43" s="243"/>
      <c r="C43" s="243"/>
      <c r="D43" s="243"/>
      <c r="E43" s="243"/>
    </row>
    <row r="44" spans="1:5">
      <c r="A44" s="245">
        <v>44</v>
      </c>
      <c r="B44" s="243"/>
      <c r="C44" s="243"/>
      <c r="D44" s="243"/>
      <c r="E44" s="243"/>
    </row>
    <row r="45" spans="1:5">
      <c r="A45" s="245">
        <v>45</v>
      </c>
      <c r="B45" s="243"/>
      <c r="C45" s="243"/>
      <c r="D45" s="243"/>
      <c r="E45" s="243"/>
    </row>
    <row r="46" spans="1:5">
      <c r="A46" s="245">
        <v>46</v>
      </c>
      <c r="B46" s="243"/>
      <c r="C46" s="243"/>
      <c r="D46" s="243"/>
      <c r="E46" s="243"/>
    </row>
    <row r="47" spans="1:5">
      <c r="A47" s="245">
        <v>47</v>
      </c>
      <c r="B47" s="243"/>
      <c r="C47" s="243"/>
      <c r="D47" s="243"/>
      <c r="E47" s="243"/>
    </row>
    <row r="48" spans="1:5">
      <c r="A48" s="245">
        <v>48</v>
      </c>
      <c r="B48" s="243"/>
      <c r="C48" s="243"/>
      <c r="D48" s="243"/>
      <c r="E48" s="243"/>
    </row>
    <row r="49" spans="1:5">
      <c r="A49" s="245">
        <v>49</v>
      </c>
      <c r="B49" s="243"/>
      <c r="C49" s="243"/>
      <c r="E49" s="243"/>
    </row>
    <row r="50" spans="1:5">
      <c r="A50" s="245">
        <v>50</v>
      </c>
      <c r="B50" s="243"/>
      <c r="C50" s="243"/>
      <c r="E50" s="243"/>
    </row>
    <row r="51" spans="1:5">
      <c r="A51" s="245">
        <v>51</v>
      </c>
      <c r="B51" s="243"/>
      <c r="C51" s="243"/>
      <c r="E51" s="243"/>
    </row>
    <row r="52" spans="1:5">
      <c r="A52" s="245">
        <v>52</v>
      </c>
      <c r="B52" s="243"/>
      <c r="C52" s="243"/>
      <c r="E52" s="243"/>
    </row>
    <row r="53" spans="1:5">
      <c r="A53" s="245">
        <v>53</v>
      </c>
      <c r="B53" s="243"/>
      <c r="C53" s="243"/>
      <c r="D53" s="243"/>
      <c r="E53" s="243"/>
    </row>
    <row r="54" spans="1:5">
      <c r="A54" s="245">
        <v>54</v>
      </c>
      <c r="B54" s="243"/>
      <c r="C54" s="243"/>
      <c r="D54" s="243"/>
      <c r="E54" s="243"/>
    </row>
    <row r="55" spans="1:5">
      <c r="A55" s="245">
        <v>55</v>
      </c>
      <c r="B55" s="243"/>
      <c r="C55" s="243"/>
      <c r="D55" s="243"/>
      <c r="E55" s="243"/>
    </row>
    <row r="56" spans="1:5">
      <c r="A56" s="245">
        <v>56</v>
      </c>
      <c r="B56" s="243"/>
      <c r="C56" s="243"/>
      <c r="D56" s="243"/>
      <c r="E56" s="243"/>
    </row>
    <row r="57" spans="1:5">
      <c r="A57" s="245">
        <v>57</v>
      </c>
      <c r="B57" s="243"/>
      <c r="C57" s="243"/>
      <c r="D57" s="243"/>
      <c r="E57" s="243"/>
    </row>
    <row r="58" spans="1:5">
      <c r="A58" s="245">
        <v>58</v>
      </c>
      <c r="B58" s="243"/>
      <c r="C58" s="243"/>
      <c r="D58" s="243"/>
      <c r="E58" s="243"/>
    </row>
    <row r="59" spans="1:5">
      <c r="A59" s="245">
        <v>59</v>
      </c>
      <c r="B59" s="243"/>
      <c r="C59" s="243"/>
      <c r="D59" s="243"/>
      <c r="E59" s="243"/>
    </row>
    <row r="60" spans="1:5">
      <c r="A60" s="245">
        <v>60</v>
      </c>
      <c r="B60" s="243"/>
      <c r="C60" s="243"/>
      <c r="D60" s="243"/>
      <c r="E60" s="243"/>
    </row>
    <row r="61" spans="1:5">
      <c r="A61" s="245">
        <v>61</v>
      </c>
      <c r="B61" s="243"/>
      <c r="C61" s="243"/>
      <c r="D61" s="243"/>
      <c r="E61" s="243"/>
    </row>
    <row r="62" spans="1:5">
      <c r="A62" s="245">
        <v>62</v>
      </c>
      <c r="B62" s="243"/>
      <c r="C62" s="243"/>
      <c r="E62" s="243"/>
    </row>
    <row r="63" spans="1:5">
      <c r="A63" s="245">
        <v>63</v>
      </c>
      <c r="B63" s="243"/>
      <c r="C63" s="243"/>
      <c r="E63" s="243"/>
    </row>
    <row r="64" spans="1:5">
      <c r="A64" s="245">
        <v>64</v>
      </c>
      <c r="B64" s="243"/>
      <c r="C64" s="243"/>
      <c r="E64" s="243"/>
    </row>
    <row r="65" spans="1:5">
      <c r="A65" s="245">
        <v>65</v>
      </c>
      <c r="B65" s="243"/>
      <c r="C65" s="243"/>
      <c r="E65" s="243"/>
    </row>
    <row r="66" spans="1:5">
      <c r="A66" s="245">
        <v>66</v>
      </c>
      <c r="B66" s="243"/>
      <c r="C66" s="243"/>
      <c r="D66" s="243"/>
      <c r="E66" s="243"/>
    </row>
    <row r="67" spans="1:5">
      <c r="A67" s="245">
        <v>67</v>
      </c>
      <c r="B67" s="243"/>
      <c r="C67" s="243"/>
      <c r="D67" s="243"/>
      <c r="E67" s="243"/>
    </row>
    <row r="68" spans="1:5">
      <c r="A68" s="245">
        <v>68</v>
      </c>
      <c r="B68" s="243"/>
      <c r="C68" s="243"/>
      <c r="D68" s="243"/>
      <c r="E68" s="243"/>
    </row>
    <row r="69" spans="1:5">
      <c r="A69" s="245">
        <v>69</v>
      </c>
      <c r="B69" s="243"/>
      <c r="C69" s="243"/>
      <c r="D69" s="243"/>
      <c r="E69" s="243"/>
    </row>
    <row r="70" spans="1:5">
      <c r="A70" s="245">
        <v>70</v>
      </c>
      <c r="B70" s="243"/>
      <c r="C70" s="243"/>
      <c r="D70" s="243"/>
      <c r="E70" s="243"/>
    </row>
    <row r="71" spans="1:5">
      <c r="A71" s="245">
        <v>71</v>
      </c>
      <c r="B71" s="243"/>
      <c r="C71" s="243"/>
      <c r="D71" s="243"/>
      <c r="E71" s="243"/>
    </row>
    <row r="72" spans="1:5">
      <c r="A72" s="245">
        <v>72</v>
      </c>
      <c r="B72" s="243"/>
      <c r="C72" s="243"/>
      <c r="D72" s="243"/>
      <c r="E72" s="243"/>
    </row>
    <row r="73" spans="1:5">
      <c r="A73" s="245">
        <v>73</v>
      </c>
      <c r="B73" s="243"/>
      <c r="C73" s="243"/>
      <c r="D73" s="243"/>
      <c r="E73" s="243"/>
    </row>
    <row r="74" spans="1:5">
      <c r="A74" s="245">
        <v>74</v>
      </c>
      <c r="B74" s="243"/>
      <c r="C74" s="243"/>
      <c r="D74" s="243"/>
      <c r="E74" s="243"/>
    </row>
    <row r="75" spans="1:5">
      <c r="A75" s="245">
        <v>75</v>
      </c>
      <c r="B75" s="243"/>
      <c r="C75" s="243"/>
      <c r="E75" s="243"/>
    </row>
    <row r="76" spans="1:5">
      <c r="A76" s="245">
        <v>76</v>
      </c>
      <c r="B76" s="243"/>
      <c r="C76" s="243"/>
      <c r="E76" s="243"/>
    </row>
    <row r="77" spans="1:5">
      <c r="A77" s="245">
        <v>77</v>
      </c>
      <c r="B77" s="243"/>
      <c r="C77" s="243"/>
      <c r="E77" s="243"/>
    </row>
    <row r="78" spans="1:5">
      <c r="A78" s="245">
        <v>78</v>
      </c>
      <c r="B78" s="243"/>
      <c r="C78" s="243"/>
      <c r="E78" s="243"/>
    </row>
    <row r="79" spans="1:5">
      <c r="A79" s="245">
        <v>79</v>
      </c>
      <c r="B79" s="243"/>
      <c r="C79" s="243"/>
      <c r="D79" s="243"/>
      <c r="E79" s="243"/>
    </row>
    <row r="80" spans="1:5">
      <c r="A80" s="245">
        <v>80</v>
      </c>
      <c r="B80" s="243"/>
      <c r="C80" s="243"/>
      <c r="D80" s="243"/>
      <c r="E80" s="243"/>
    </row>
    <row r="81" spans="1:5">
      <c r="A81" s="245">
        <v>81</v>
      </c>
      <c r="B81" s="243"/>
      <c r="C81" s="243"/>
      <c r="D81" s="243"/>
      <c r="E81" s="243"/>
    </row>
    <row r="82" spans="1:5">
      <c r="A82" s="245">
        <v>82</v>
      </c>
      <c r="B82" s="243"/>
      <c r="C82" s="243"/>
      <c r="D82" s="243"/>
      <c r="E82" s="243"/>
    </row>
    <row r="83" spans="1:5">
      <c r="A83" s="245">
        <v>83</v>
      </c>
      <c r="B83" s="243"/>
      <c r="C83" s="243"/>
      <c r="D83" s="243"/>
      <c r="E83" s="243"/>
    </row>
    <row r="84" spans="1:5">
      <c r="A84" s="245">
        <v>84</v>
      </c>
      <c r="B84" s="243"/>
      <c r="C84" s="243"/>
      <c r="D84" s="243"/>
      <c r="E84" s="243"/>
    </row>
    <row r="85" spans="1:5">
      <c r="A85" s="245">
        <v>85</v>
      </c>
      <c r="B85" s="243"/>
      <c r="C85" s="243"/>
      <c r="D85" s="243"/>
      <c r="E85" s="243"/>
    </row>
    <row r="86" spans="1:5">
      <c r="A86" s="245">
        <v>86</v>
      </c>
      <c r="B86" s="243"/>
      <c r="C86" s="243"/>
      <c r="D86" s="243"/>
      <c r="E86" s="243"/>
    </row>
    <row r="87" spans="1:5">
      <c r="A87" s="245">
        <v>87</v>
      </c>
      <c r="B87" s="243"/>
      <c r="C87" s="243"/>
      <c r="D87" s="243"/>
      <c r="E87" s="243"/>
    </row>
    <row r="88" spans="1:5">
      <c r="A88" s="245">
        <v>88</v>
      </c>
      <c r="B88" s="243"/>
      <c r="C88" s="243"/>
      <c r="E88" s="243"/>
    </row>
    <row r="89" spans="1:5">
      <c r="A89" s="245">
        <v>89</v>
      </c>
      <c r="B89" s="243"/>
      <c r="C89" s="243"/>
      <c r="E89" s="243"/>
    </row>
    <row r="90" spans="1:5">
      <c r="A90" s="245">
        <v>90</v>
      </c>
      <c r="B90" s="243"/>
      <c r="C90" s="243"/>
      <c r="E90" s="243"/>
    </row>
    <row r="91" spans="1:5">
      <c r="A91" s="245">
        <v>91</v>
      </c>
      <c r="B91" s="243"/>
      <c r="C91" s="243"/>
      <c r="E91" s="243"/>
    </row>
    <row r="92" spans="1:5">
      <c r="A92" s="245">
        <v>92</v>
      </c>
      <c r="B92" s="243"/>
      <c r="C92" s="243"/>
      <c r="D92" s="243"/>
      <c r="E92" s="243"/>
    </row>
    <row r="93" spans="1:5">
      <c r="A93" s="245">
        <v>93</v>
      </c>
      <c r="B93" s="243"/>
      <c r="C93" s="243"/>
      <c r="D93" s="243"/>
      <c r="E93" s="243"/>
    </row>
    <row r="94" spans="1:5">
      <c r="A94" s="245">
        <v>94</v>
      </c>
      <c r="B94" s="243"/>
      <c r="C94" s="243"/>
      <c r="D94" s="243"/>
      <c r="E94" s="243"/>
    </row>
    <row r="95" spans="1:5">
      <c r="A95" s="245">
        <v>95</v>
      </c>
      <c r="B95" s="243"/>
      <c r="C95" s="243"/>
      <c r="D95" s="243"/>
      <c r="E95" s="243"/>
    </row>
    <row r="96" spans="1:5">
      <c r="A96" s="245">
        <v>96</v>
      </c>
      <c r="B96" s="243"/>
      <c r="C96" s="243"/>
      <c r="D96" s="243"/>
      <c r="E96" s="243"/>
    </row>
    <row r="97" spans="1:5">
      <c r="A97" s="245">
        <v>97</v>
      </c>
      <c r="B97" s="243"/>
      <c r="C97" s="243"/>
      <c r="D97" s="243"/>
      <c r="E97" s="243"/>
    </row>
    <row r="98" spans="1:5">
      <c r="A98" s="245">
        <v>98</v>
      </c>
      <c r="B98" s="243"/>
      <c r="C98" s="243"/>
      <c r="D98" s="243"/>
      <c r="E98" s="243"/>
    </row>
    <row r="99" spans="1:5">
      <c r="A99" s="245">
        <v>99</v>
      </c>
      <c r="B99" s="243"/>
      <c r="C99" s="243"/>
      <c r="D99" s="243"/>
      <c r="E99" s="243"/>
    </row>
    <row r="100" spans="1:5">
      <c r="A100" s="245">
        <v>100</v>
      </c>
      <c r="B100" s="243"/>
      <c r="C100" s="243"/>
      <c r="D100" s="243"/>
      <c r="E100" s="243"/>
    </row>
    <row r="101" spans="1:5">
      <c r="A101" s="245">
        <v>101</v>
      </c>
      <c r="B101" s="243"/>
      <c r="C101" s="243"/>
      <c r="E101" s="243"/>
    </row>
    <row r="102" spans="1:5">
      <c r="A102" s="245">
        <v>102</v>
      </c>
      <c r="B102" s="243"/>
      <c r="C102" s="243"/>
      <c r="E102" s="243"/>
    </row>
    <row r="103" spans="1:5">
      <c r="A103" s="245">
        <v>103</v>
      </c>
      <c r="B103" s="243"/>
      <c r="C103" s="243"/>
      <c r="E103" s="243"/>
    </row>
    <row r="104" spans="1:5">
      <c r="A104" s="245">
        <v>104</v>
      </c>
      <c r="B104" s="243"/>
      <c r="C104" s="243"/>
      <c r="E104" s="243"/>
    </row>
    <row r="105" spans="1:5">
      <c r="A105" s="245">
        <v>105</v>
      </c>
      <c r="B105" s="243"/>
      <c r="C105" s="243"/>
      <c r="D105" s="243"/>
      <c r="E105" s="243"/>
    </row>
    <row r="106" spans="1:5">
      <c r="A106" s="245">
        <v>106</v>
      </c>
      <c r="B106" s="243"/>
      <c r="C106" s="243"/>
      <c r="D106" s="243"/>
      <c r="E106" s="243"/>
    </row>
    <row r="107" spans="1:5">
      <c r="A107" s="245">
        <v>107</v>
      </c>
      <c r="B107" s="243"/>
      <c r="C107" s="243"/>
      <c r="D107" s="243"/>
      <c r="E107" s="243"/>
    </row>
    <row r="108" spans="1:5">
      <c r="A108" s="245">
        <v>108</v>
      </c>
      <c r="B108" s="243"/>
      <c r="C108" s="243"/>
      <c r="D108" s="243"/>
      <c r="E108" s="243"/>
    </row>
    <row r="109" spans="1:5">
      <c r="A109" s="245">
        <v>109</v>
      </c>
      <c r="B109" s="243"/>
      <c r="C109" s="243"/>
      <c r="D109" s="243"/>
      <c r="E109" s="243"/>
    </row>
    <row r="110" spans="1:5">
      <c r="A110" s="245">
        <v>110</v>
      </c>
      <c r="B110" s="243"/>
      <c r="C110" s="243"/>
      <c r="D110" s="243"/>
      <c r="E110" s="243"/>
    </row>
    <row r="111" spans="1:5">
      <c r="A111" s="245">
        <v>111</v>
      </c>
      <c r="B111" s="243"/>
      <c r="C111" s="243"/>
      <c r="D111" s="243"/>
      <c r="E111" s="243"/>
    </row>
    <row r="112" spans="1:5">
      <c r="A112" s="245">
        <v>112</v>
      </c>
      <c r="B112" s="243"/>
      <c r="C112" s="243"/>
      <c r="D112" s="243"/>
      <c r="E112" s="243"/>
    </row>
    <row r="113" spans="1:5">
      <c r="A113" s="245">
        <v>113</v>
      </c>
      <c r="B113" s="243"/>
      <c r="C113" s="243"/>
      <c r="D113" s="243"/>
      <c r="E113" s="243"/>
    </row>
    <row r="114" spans="1:5">
      <c r="A114" s="245">
        <v>114</v>
      </c>
      <c r="B114" s="243"/>
      <c r="C114" s="243"/>
      <c r="E114" s="243"/>
    </row>
    <row r="115" spans="1:5">
      <c r="A115" s="245">
        <v>115</v>
      </c>
      <c r="B115" s="243"/>
      <c r="C115" s="243"/>
      <c r="E115" s="243"/>
    </row>
    <row r="116" spans="1:5">
      <c r="A116" s="245">
        <v>116</v>
      </c>
      <c r="B116" s="243"/>
      <c r="C116" s="243"/>
      <c r="E116" s="243"/>
    </row>
    <row r="117" spans="1:5">
      <c r="A117" s="245">
        <v>117</v>
      </c>
      <c r="B117" s="243"/>
      <c r="C117" s="243"/>
      <c r="E117" s="243"/>
    </row>
    <row r="118" spans="1:5">
      <c r="A118" s="245">
        <v>118</v>
      </c>
      <c r="B118" s="243"/>
      <c r="C118" s="243"/>
      <c r="D118" s="243"/>
      <c r="E118" s="243"/>
    </row>
    <row r="119" spans="1:5">
      <c r="A119" s="245">
        <v>119</v>
      </c>
      <c r="B119" s="243"/>
      <c r="C119" s="243"/>
      <c r="D119" s="243"/>
      <c r="E119" s="243"/>
    </row>
    <row r="120" spans="1:5">
      <c r="A120" s="245">
        <v>120</v>
      </c>
      <c r="B120" s="243"/>
      <c r="C120" s="243"/>
      <c r="D120" s="243"/>
      <c r="E120" s="243"/>
    </row>
    <row r="121" spans="1:5">
      <c r="A121" s="245">
        <v>121</v>
      </c>
      <c r="B121" s="243"/>
      <c r="C121" s="243"/>
      <c r="D121" s="243"/>
      <c r="E121" s="243"/>
    </row>
    <row r="122" spans="1:5">
      <c r="A122" s="245">
        <v>122</v>
      </c>
      <c r="B122" s="243"/>
      <c r="C122" s="243"/>
      <c r="D122" s="243"/>
      <c r="E122" s="243"/>
    </row>
    <row r="123" spans="1:5">
      <c r="A123" s="245">
        <v>123</v>
      </c>
      <c r="B123" s="243"/>
      <c r="C123" s="243"/>
      <c r="D123" s="243"/>
      <c r="E123" s="243"/>
    </row>
    <row r="124" spans="1:5">
      <c r="A124" s="245">
        <v>124</v>
      </c>
      <c r="B124" s="243"/>
      <c r="C124" s="243"/>
      <c r="D124" s="243"/>
      <c r="E124" s="243"/>
    </row>
    <row r="125" spans="1:5">
      <c r="A125" s="245">
        <v>125</v>
      </c>
      <c r="B125" s="243"/>
      <c r="C125" s="243"/>
      <c r="D125" s="243"/>
      <c r="E125" s="243"/>
    </row>
    <row r="126" spans="1:5">
      <c r="A126" s="245">
        <v>126</v>
      </c>
      <c r="B126" s="243"/>
      <c r="C126" s="243"/>
      <c r="D126" s="243"/>
      <c r="E126" s="243"/>
    </row>
    <row r="127" spans="1:5">
      <c r="A127" s="245">
        <v>127</v>
      </c>
      <c r="B127" s="243"/>
      <c r="C127" s="243"/>
      <c r="E127" s="243"/>
    </row>
    <row r="128" spans="1:5">
      <c r="A128" s="245">
        <v>128</v>
      </c>
      <c r="B128" s="243"/>
      <c r="C128" s="243"/>
      <c r="E128" s="243"/>
    </row>
    <row r="129" spans="1:5">
      <c r="A129" s="245">
        <v>129</v>
      </c>
      <c r="B129" s="243"/>
      <c r="C129" s="243"/>
      <c r="E129" s="243"/>
    </row>
    <row r="130" spans="1:5">
      <c r="A130" s="245">
        <v>130</v>
      </c>
      <c r="B130" s="243"/>
      <c r="C130" s="243"/>
      <c r="E130" s="243"/>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38"/>
  <sheetViews>
    <sheetView topLeftCell="J1" workbookViewId="0">
      <selection activeCell="N1" sqref="N1:N10000"/>
    </sheetView>
  </sheetViews>
  <sheetFormatPr defaultRowHeight="14.25"/>
  <cols>
    <col min="1" max="1" width="3" bestFit="1" customWidth="1"/>
    <col min="2" max="2" width="8.375" bestFit="1" customWidth="1"/>
    <col min="3" max="3" width="10.625" bestFit="1" customWidth="1"/>
    <col min="4" max="4" width="10.37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6.75" bestFit="1" customWidth="1"/>
    <col min="14" max="14" width="27.7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243">
        <v>1</v>
      </c>
      <c r="B2" s="243" t="s">
        <v>105</v>
      </c>
      <c r="C2" s="243" t="s">
        <v>39</v>
      </c>
      <c r="D2" s="243" t="s">
        <v>106</v>
      </c>
      <c r="E2" s="243" t="s">
        <v>107</v>
      </c>
      <c r="F2" s="243" t="s">
        <v>108</v>
      </c>
      <c r="G2" s="243" t="s">
        <v>109</v>
      </c>
      <c r="H2" s="243" t="s">
        <v>110</v>
      </c>
      <c r="I2" s="243" t="s">
        <v>111</v>
      </c>
      <c r="J2" s="243" t="s">
        <v>112</v>
      </c>
      <c r="K2" s="243" t="s">
        <v>113</v>
      </c>
      <c r="L2" s="243" t="s">
        <v>114</v>
      </c>
      <c r="M2" s="243" t="s">
        <v>115</v>
      </c>
      <c r="N2" s="243" t="s">
        <v>116</v>
      </c>
    </row>
    <row r="3" spans="1:14">
      <c r="A3" s="243"/>
      <c r="B3" s="243"/>
      <c r="C3" s="243"/>
      <c r="E3" s="243"/>
      <c r="F3" s="243"/>
      <c r="G3" s="243"/>
      <c r="H3" s="243"/>
      <c r="I3" s="243"/>
      <c r="J3" s="243"/>
      <c r="K3" s="243"/>
      <c r="L3" s="243"/>
      <c r="M3" s="243"/>
      <c r="N3" s="243"/>
    </row>
    <row r="4" spans="1:14">
      <c r="A4" s="243"/>
      <c r="B4" s="243"/>
      <c r="C4" s="243"/>
      <c r="E4" s="243"/>
      <c r="F4" s="243"/>
      <c r="G4" s="243"/>
      <c r="H4" s="243"/>
      <c r="I4" s="243"/>
      <c r="J4" s="243"/>
      <c r="K4" s="243"/>
      <c r="L4" s="243"/>
      <c r="M4" s="243"/>
      <c r="N4" s="243"/>
    </row>
    <row r="5" spans="1:14">
      <c r="A5" s="243"/>
      <c r="B5" s="243"/>
      <c r="C5" s="243"/>
      <c r="E5" s="243"/>
      <c r="F5" s="243"/>
      <c r="H5" s="243"/>
      <c r="I5" s="243"/>
      <c r="J5" s="243"/>
      <c r="K5" s="243"/>
      <c r="L5" s="243"/>
      <c r="M5" s="243"/>
      <c r="N5" s="243"/>
    </row>
    <row r="6" spans="1:14">
      <c r="A6" s="243"/>
      <c r="B6" s="243"/>
      <c r="C6" s="243"/>
      <c r="E6" s="243"/>
      <c r="F6" s="243"/>
      <c r="G6" s="243"/>
      <c r="H6" s="243"/>
      <c r="I6" s="243"/>
      <c r="J6" s="243"/>
      <c r="K6" s="243"/>
      <c r="L6" s="243"/>
      <c r="M6" s="243"/>
      <c r="N6" s="243"/>
    </row>
    <row r="7" spans="1:14">
      <c r="A7" s="243"/>
      <c r="B7" s="243"/>
      <c r="C7" s="243"/>
      <c r="D7" s="243"/>
      <c r="E7" s="243"/>
      <c r="F7" s="243"/>
      <c r="G7" s="243"/>
      <c r="H7" s="243"/>
      <c r="I7" s="243"/>
      <c r="J7" s="243"/>
      <c r="K7" s="243"/>
      <c r="L7" s="243"/>
      <c r="M7" s="243"/>
      <c r="N7" s="243"/>
    </row>
    <row r="8" spans="1:14">
      <c r="A8" s="243"/>
      <c r="B8" s="243"/>
      <c r="C8" s="243"/>
      <c r="D8" s="243"/>
      <c r="E8" s="243"/>
      <c r="F8" s="243"/>
      <c r="G8" s="243"/>
      <c r="H8" s="243"/>
      <c r="I8" s="243"/>
      <c r="J8" s="243"/>
      <c r="K8" s="243"/>
      <c r="L8" s="243"/>
      <c r="M8" s="243"/>
      <c r="N8" s="243"/>
    </row>
    <row r="9" spans="1:14">
      <c r="A9" s="243"/>
      <c r="B9" s="243"/>
      <c r="C9" s="243"/>
      <c r="D9" s="243"/>
      <c r="E9" s="243"/>
      <c r="F9" s="243"/>
      <c r="G9" s="243"/>
      <c r="H9" s="243"/>
      <c r="I9" s="243"/>
      <c r="J9" s="243"/>
      <c r="K9" s="243"/>
      <c r="L9" s="243"/>
      <c r="M9" s="243"/>
      <c r="N9" s="243"/>
    </row>
    <row r="10" spans="1:14">
      <c r="A10" s="243"/>
      <c r="B10" s="243"/>
      <c r="C10" s="243"/>
      <c r="D10" s="243"/>
      <c r="E10" s="243"/>
      <c r="F10" s="243"/>
      <c r="G10" s="243"/>
      <c r="H10" s="243"/>
      <c r="I10" s="243"/>
      <c r="J10" s="243"/>
      <c r="K10" s="243"/>
      <c r="L10" s="243"/>
      <c r="M10" s="243"/>
      <c r="N10" s="243"/>
    </row>
    <row r="11" spans="1:14">
      <c r="A11" s="243"/>
      <c r="B11" s="243"/>
      <c r="C11" s="243"/>
      <c r="D11" s="243"/>
      <c r="E11" s="243"/>
      <c r="F11" s="243"/>
      <c r="G11" s="243"/>
      <c r="H11" s="243"/>
      <c r="I11" s="243"/>
      <c r="J11" s="243"/>
      <c r="K11" s="243"/>
      <c r="L11" s="243"/>
      <c r="M11" s="243"/>
      <c r="N11" s="243"/>
    </row>
    <row r="12" spans="1:14">
      <c r="A12" s="243"/>
      <c r="B12" s="243"/>
      <c r="C12" s="243"/>
      <c r="D12" s="243"/>
      <c r="E12" s="243"/>
      <c r="F12" s="243"/>
      <c r="G12" s="243"/>
      <c r="H12" s="243"/>
      <c r="I12" s="243"/>
      <c r="J12" s="243"/>
      <c r="K12" s="243"/>
      <c r="L12" s="243"/>
      <c r="M12" s="243"/>
      <c r="N12" s="243"/>
    </row>
    <row r="13" spans="1:14">
      <c r="A13" s="243"/>
      <c r="B13" s="243"/>
      <c r="C13" s="243"/>
      <c r="D13" s="243"/>
      <c r="E13" s="243"/>
      <c r="F13" s="243"/>
      <c r="G13" s="243"/>
      <c r="H13" s="243"/>
      <c r="I13" s="243"/>
      <c r="J13" s="243"/>
      <c r="K13" s="243"/>
      <c r="L13" s="243"/>
      <c r="M13" s="243"/>
      <c r="N13" s="243"/>
    </row>
    <row r="14" spans="1:14">
      <c r="A14" s="243"/>
      <c r="B14" s="243"/>
      <c r="D14" s="243"/>
      <c r="E14" s="243"/>
      <c r="F14" s="243"/>
      <c r="G14" s="243"/>
      <c r="H14" s="243"/>
      <c r="I14" s="243"/>
      <c r="J14" s="243"/>
      <c r="K14" s="243"/>
      <c r="L14" s="243"/>
    </row>
    <row r="15" spans="1:14">
      <c r="A15" s="243"/>
      <c r="B15" s="243"/>
      <c r="C15" s="243"/>
      <c r="D15" s="243"/>
      <c r="E15" s="243"/>
      <c r="F15" s="243"/>
      <c r="G15" s="243"/>
      <c r="H15" s="243"/>
      <c r="I15" s="243"/>
      <c r="J15" s="243"/>
      <c r="K15" s="243"/>
      <c r="L15" s="243"/>
      <c r="M15" s="243"/>
      <c r="N15" s="243"/>
    </row>
    <row r="16" spans="1:14">
      <c r="A16" s="243"/>
      <c r="B16" s="243"/>
      <c r="C16" s="243"/>
      <c r="D16" s="243"/>
      <c r="E16" s="243"/>
      <c r="F16" s="243"/>
      <c r="G16" s="243"/>
      <c r="H16" s="243"/>
      <c r="I16" s="243"/>
      <c r="J16" s="243"/>
      <c r="K16" s="243"/>
      <c r="L16" s="243"/>
      <c r="M16" s="243"/>
      <c r="N16" s="243"/>
    </row>
    <row r="17" spans="1:14">
      <c r="A17" s="243"/>
      <c r="B17" s="243"/>
      <c r="C17" s="243"/>
      <c r="D17" s="243"/>
      <c r="E17" s="243"/>
      <c r="F17" s="243"/>
      <c r="G17" s="243"/>
      <c r="H17" s="243"/>
      <c r="I17" s="243"/>
      <c r="J17" s="243"/>
      <c r="K17" s="243"/>
      <c r="L17" s="243"/>
      <c r="M17" s="243"/>
      <c r="N17" s="243"/>
    </row>
    <row r="18" spans="1:14">
      <c r="A18" s="243"/>
      <c r="B18" s="243"/>
      <c r="C18" s="243"/>
      <c r="D18" s="243"/>
      <c r="E18" s="243"/>
      <c r="F18" s="243"/>
      <c r="G18" s="243"/>
      <c r="H18" s="243"/>
      <c r="I18" s="243"/>
      <c r="J18" s="243"/>
      <c r="K18" s="243"/>
      <c r="L18" s="243"/>
      <c r="M18" s="243"/>
      <c r="N18" s="243"/>
    </row>
    <row r="19" spans="1:14">
      <c r="A19" s="243"/>
      <c r="B19" s="243"/>
      <c r="C19" s="243"/>
      <c r="D19" s="243"/>
      <c r="E19" s="243"/>
      <c r="F19" s="243"/>
      <c r="G19" s="243"/>
      <c r="H19" s="243"/>
      <c r="I19" s="243"/>
      <c r="J19" s="243"/>
      <c r="K19" s="243"/>
      <c r="L19" s="243"/>
      <c r="M19" s="243"/>
      <c r="N19" s="243"/>
    </row>
    <row r="20" spans="1:14">
      <c r="A20" s="243"/>
      <c r="B20" s="243"/>
      <c r="C20" s="243"/>
      <c r="D20" s="243"/>
      <c r="E20" s="243"/>
      <c r="F20" s="243"/>
      <c r="G20" s="243"/>
      <c r="H20" s="243"/>
      <c r="I20" s="243"/>
      <c r="J20" s="243"/>
      <c r="K20" s="243"/>
      <c r="L20" s="243"/>
      <c r="M20" s="243"/>
      <c r="N20" s="243"/>
    </row>
    <row r="21" spans="1:14">
      <c r="A21" s="243"/>
      <c r="B21" s="243"/>
      <c r="C21" s="243"/>
      <c r="D21" s="243"/>
      <c r="E21" s="243"/>
      <c r="F21" s="243"/>
      <c r="G21" s="243"/>
      <c r="H21" s="243"/>
      <c r="I21" s="243"/>
      <c r="J21" s="243"/>
      <c r="K21" s="243"/>
      <c r="L21" s="243"/>
      <c r="M21" s="243"/>
      <c r="N21" s="243"/>
    </row>
    <row r="22" spans="1:14">
      <c r="A22" s="243"/>
      <c r="B22" s="243"/>
      <c r="D22" s="243"/>
      <c r="E22" s="243"/>
      <c r="F22" s="243"/>
      <c r="G22" s="243"/>
      <c r="H22" s="243"/>
      <c r="I22" s="243"/>
      <c r="J22" s="243"/>
      <c r="K22" s="243"/>
      <c r="L22" s="243"/>
    </row>
    <row r="23" spans="1:14">
      <c r="A23" s="243"/>
      <c r="B23" s="243"/>
      <c r="C23" s="243"/>
      <c r="D23" s="243"/>
      <c r="E23" s="243"/>
      <c r="F23" s="243"/>
      <c r="H23" s="243"/>
      <c r="I23" s="243"/>
      <c r="J23" s="243"/>
      <c r="K23" s="243"/>
      <c r="L23" s="243"/>
      <c r="M23" s="243"/>
      <c r="N23" s="243"/>
    </row>
    <row r="24" spans="1:14">
      <c r="A24" s="243"/>
      <c r="B24" s="243"/>
      <c r="C24" s="243"/>
      <c r="D24" s="243"/>
      <c r="E24" s="243"/>
      <c r="F24" s="243"/>
      <c r="H24" s="243"/>
      <c r="I24" s="243"/>
      <c r="J24" s="243"/>
      <c r="K24" s="243"/>
      <c r="L24" s="243"/>
      <c r="M24" s="243"/>
      <c r="N24" s="243"/>
    </row>
    <row r="25" spans="1:14">
      <c r="A25" s="243"/>
      <c r="B25" s="243"/>
      <c r="C25" s="243"/>
      <c r="D25" s="243"/>
      <c r="E25" s="243"/>
      <c r="F25" s="243"/>
      <c r="H25" s="243"/>
      <c r="I25" s="243"/>
      <c r="J25" s="243"/>
      <c r="K25" s="243"/>
      <c r="L25" s="243"/>
      <c r="M25" s="243"/>
      <c r="N25" s="243"/>
    </row>
    <row r="26" spans="1:14">
      <c r="A26" s="243"/>
      <c r="B26" s="243"/>
      <c r="C26" s="243"/>
      <c r="D26" s="243"/>
      <c r="E26" s="243"/>
      <c r="F26" s="243"/>
      <c r="H26" s="243"/>
      <c r="I26" s="243"/>
      <c r="J26" s="243"/>
      <c r="K26" s="243"/>
      <c r="L26" s="243"/>
      <c r="M26" s="243"/>
      <c r="N26" s="243"/>
    </row>
    <row r="27" spans="1:14">
      <c r="A27" s="243"/>
      <c r="B27" s="243"/>
      <c r="C27" s="243"/>
      <c r="D27" s="243"/>
      <c r="E27" s="243"/>
      <c r="F27" s="243"/>
      <c r="H27" s="243"/>
      <c r="I27" s="243"/>
      <c r="J27" s="243"/>
      <c r="K27" s="243"/>
      <c r="L27" s="243"/>
      <c r="M27" s="243"/>
      <c r="N27" s="243"/>
    </row>
    <row r="28" spans="1:14">
      <c r="A28" s="243"/>
      <c r="B28" s="243"/>
      <c r="C28" s="243"/>
      <c r="D28" s="243"/>
      <c r="E28" s="243"/>
      <c r="F28" s="243"/>
      <c r="H28" s="243"/>
      <c r="I28" s="243"/>
      <c r="J28" s="243"/>
      <c r="K28" s="243"/>
      <c r="L28" s="243"/>
      <c r="M28" s="243"/>
      <c r="N28" s="243"/>
    </row>
    <row r="29" spans="1:14">
      <c r="A29" s="243"/>
      <c r="B29" s="243"/>
      <c r="C29" s="243"/>
      <c r="D29" s="243"/>
      <c r="E29" s="243"/>
      <c r="F29" s="243"/>
      <c r="H29" s="243"/>
      <c r="I29" s="243"/>
      <c r="J29" s="243"/>
      <c r="K29" s="243"/>
      <c r="L29" s="243"/>
      <c r="M29" s="243"/>
      <c r="N29" s="243"/>
    </row>
    <row r="30" spans="1:14">
      <c r="A30" s="243"/>
      <c r="B30" s="243"/>
      <c r="D30" s="243"/>
      <c r="E30" s="243"/>
      <c r="F30" s="243"/>
      <c r="H30" s="243"/>
      <c r="I30" s="243"/>
      <c r="K30" s="243"/>
      <c r="L30" s="243"/>
    </row>
    <row r="31" spans="1:14">
      <c r="A31" s="243"/>
      <c r="B31" s="243"/>
      <c r="C31" s="243"/>
      <c r="D31" s="243"/>
      <c r="E31" s="243"/>
      <c r="F31" s="243"/>
      <c r="H31" s="243"/>
      <c r="I31" s="243"/>
      <c r="J31" s="243"/>
      <c r="K31" s="243"/>
      <c r="L31" s="243"/>
      <c r="M31" s="243"/>
      <c r="N31" s="243"/>
    </row>
    <row r="32" spans="1:14">
      <c r="A32" s="243"/>
      <c r="B32" s="243"/>
      <c r="C32" s="243"/>
      <c r="D32" s="243"/>
      <c r="E32" s="243"/>
      <c r="F32" s="243"/>
      <c r="H32" s="243"/>
      <c r="I32" s="243"/>
      <c r="J32" s="243"/>
      <c r="K32" s="243"/>
      <c r="L32" s="243"/>
      <c r="M32" s="243"/>
      <c r="N32" s="243"/>
    </row>
    <row r="33" spans="1:14">
      <c r="A33" s="243"/>
      <c r="B33" s="243"/>
      <c r="C33" s="243"/>
      <c r="D33" s="243"/>
      <c r="E33" s="243"/>
      <c r="F33" s="243"/>
      <c r="H33" s="243"/>
      <c r="I33" s="243"/>
      <c r="J33" s="243"/>
      <c r="K33" s="243"/>
      <c r="L33" s="243"/>
      <c r="M33" s="243"/>
      <c r="N33" s="243"/>
    </row>
    <row r="34" spans="1:14">
      <c r="A34" s="243"/>
      <c r="B34" s="243"/>
      <c r="C34" s="243"/>
      <c r="D34" s="243"/>
      <c r="E34" s="243"/>
      <c r="F34" s="243"/>
      <c r="H34" s="243"/>
      <c r="I34" s="243"/>
      <c r="J34" s="243"/>
      <c r="K34" s="243"/>
      <c r="L34" s="243"/>
      <c r="M34" s="243"/>
      <c r="N34" s="243"/>
    </row>
    <row r="35" spans="1:14">
      <c r="A35" s="243"/>
      <c r="B35" s="243"/>
      <c r="C35" s="243"/>
      <c r="D35" s="243"/>
      <c r="E35" s="243"/>
      <c r="F35" s="243"/>
      <c r="G35" s="243"/>
      <c r="H35" s="243"/>
      <c r="I35" s="243"/>
      <c r="J35" s="243"/>
      <c r="K35" s="243"/>
      <c r="L35" s="243"/>
      <c r="M35" s="243"/>
      <c r="N35" s="243"/>
    </row>
    <row r="36" spans="1:14">
      <c r="A36" s="243"/>
      <c r="B36" s="243"/>
      <c r="C36" s="243"/>
      <c r="D36" s="243"/>
      <c r="E36" s="243"/>
      <c r="F36" s="243"/>
      <c r="H36" s="243"/>
      <c r="I36" s="243"/>
      <c r="J36" s="243"/>
      <c r="K36" s="243"/>
      <c r="L36" s="243"/>
      <c r="M36" s="243"/>
      <c r="N36" s="243"/>
    </row>
    <row r="37" spans="1:14">
      <c r="A37" s="243"/>
      <c r="B37" s="243"/>
      <c r="C37" s="243"/>
      <c r="D37" s="243"/>
      <c r="E37" s="243"/>
      <c r="F37" s="243"/>
      <c r="H37" s="243"/>
      <c r="I37" s="243"/>
      <c r="J37" s="243"/>
      <c r="K37" s="243"/>
      <c r="L37" s="243"/>
      <c r="M37" s="243"/>
      <c r="N37" s="243"/>
    </row>
    <row r="38" spans="1:14">
      <c r="A38" s="243"/>
      <c r="B38" s="243"/>
      <c r="D38" s="243"/>
      <c r="E38" s="243"/>
      <c r="F38" s="243"/>
      <c r="H38" s="243"/>
      <c r="I38" s="243"/>
      <c r="K38" s="243"/>
      <c r="L38" s="243"/>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38"/>
  <sheetViews>
    <sheetView workbookViewId="0">
      <selection activeCell="A14" sqref="A14"/>
    </sheetView>
  </sheetViews>
  <sheetFormatPr defaultRowHeight="14.25"/>
  <cols>
    <col min="1" max="1" width="3" bestFit="1" customWidth="1"/>
    <col min="2" max="2" width="8.375" bestFit="1" customWidth="1"/>
    <col min="3" max="3" width="10.625" bestFit="1" customWidth="1"/>
    <col min="4" max="4" width="10.375"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6.75" bestFit="1" customWidth="1"/>
    <col min="14" max="14" width="27.7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128">
        <v>1</v>
      </c>
      <c r="B2" s="128" t="s">
        <v>105</v>
      </c>
      <c r="C2" s="128" t="s">
        <v>39</v>
      </c>
      <c r="D2" s="128" t="s">
        <v>106</v>
      </c>
      <c r="E2" s="128" t="s">
        <v>107</v>
      </c>
      <c r="F2" s="128" t="s">
        <v>108</v>
      </c>
      <c r="G2" s="128" t="s">
        <v>109</v>
      </c>
      <c r="H2" s="128" t="s">
        <v>110</v>
      </c>
      <c r="I2" s="128" t="s">
        <v>111</v>
      </c>
      <c r="J2" s="128" t="s">
        <v>112</v>
      </c>
      <c r="K2" s="128" t="s">
        <v>113</v>
      </c>
      <c r="L2" s="128" t="s">
        <v>114</v>
      </c>
      <c r="M2" s="128" t="s">
        <v>115</v>
      </c>
      <c r="N2" s="128" t="s">
        <v>116</v>
      </c>
    </row>
    <row r="3" spans="1:14">
      <c r="A3">
        <v>2</v>
      </c>
      <c r="B3" t="s">
        <v>75</v>
      </c>
      <c r="C3" t="s">
        <v>36</v>
      </c>
      <c r="D3" t="s">
        <v>35</v>
      </c>
      <c r="E3" t="s">
        <v>117</v>
      </c>
      <c r="F3" t="s">
        <v>118</v>
      </c>
      <c r="G3" t="s">
        <v>119</v>
      </c>
      <c r="H3" t="s">
        <v>120</v>
      </c>
      <c r="I3" t="s">
        <v>121</v>
      </c>
      <c r="J3" t="s">
        <v>122</v>
      </c>
      <c r="K3" t="s">
        <v>123</v>
      </c>
      <c r="L3" t="s">
        <v>124</v>
      </c>
      <c r="M3" t="s">
        <v>35</v>
      </c>
      <c r="N3" t="s">
        <v>35</v>
      </c>
    </row>
    <row r="4" spans="1:14">
      <c r="A4">
        <v>3</v>
      </c>
      <c r="B4" t="s">
        <v>77</v>
      </c>
      <c r="C4" t="s">
        <v>36</v>
      </c>
      <c r="D4" t="s">
        <v>35</v>
      </c>
      <c r="E4" t="s">
        <v>125</v>
      </c>
      <c r="F4" t="s">
        <v>126</v>
      </c>
      <c r="G4" t="s">
        <v>127</v>
      </c>
      <c r="H4" t="s">
        <v>128</v>
      </c>
      <c r="I4" t="s">
        <v>129</v>
      </c>
      <c r="J4" t="s">
        <v>130</v>
      </c>
      <c r="K4" t="s">
        <v>131</v>
      </c>
      <c r="L4" t="s">
        <v>132</v>
      </c>
      <c r="M4" t="s">
        <v>35</v>
      </c>
      <c r="N4" t="s">
        <v>35</v>
      </c>
    </row>
    <row r="5" spans="1:14">
      <c r="A5">
        <v>4</v>
      </c>
      <c r="B5" t="s">
        <v>78</v>
      </c>
      <c r="C5" t="s">
        <v>36</v>
      </c>
      <c r="D5" t="s">
        <v>35</v>
      </c>
      <c r="E5" t="s">
        <v>133</v>
      </c>
      <c r="F5" t="s">
        <v>134</v>
      </c>
      <c r="G5" t="s">
        <v>135</v>
      </c>
      <c r="H5" t="s">
        <v>136</v>
      </c>
      <c r="I5" t="s">
        <v>137</v>
      </c>
      <c r="J5" t="s">
        <v>138</v>
      </c>
      <c r="K5" t="s">
        <v>139</v>
      </c>
      <c r="L5" t="s">
        <v>140</v>
      </c>
      <c r="M5" t="s">
        <v>35</v>
      </c>
      <c r="N5" t="s">
        <v>35</v>
      </c>
    </row>
    <row r="6" spans="1:14">
      <c r="A6">
        <v>5</v>
      </c>
      <c r="B6" t="s">
        <v>79</v>
      </c>
      <c r="C6" t="s">
        <v>36</v>
      </c>
      <c r="D6" t="s">
        <v>35</v>
      </c>
      <c r="E6" t="s">
        <v>141</v>
      </c>
      <c r="F6" t="s">
        <v>142</v>
      </c>
      <c r="G6" t="s">
        <v>143</v>
      </c>
      <c r="H6" t="s">
        <v>144</v>
      </c>
      <c r="I6" t="s">
        <v>145</v>
      </c>
      <c r="J6" t="s">
        <v>146</v>
      </c>
      <c r="K6" t="s">
        <v>147</v>
      </c>
      <c r="L6" t="s">
        <v>148</v>
      </c>
      <c r="M6" t="s">
        <v>35</v>
      </c>
      <c r="N6" t="s">
        <v>35</v>
      </c>
    </row>
    <row r="7" spans="1:14">
      <c r="A7">
        <v>6</v>
      </c>
      <c r="B7" t="s">
        <v>75</v>
      </c>
      <c r="C7" t="s">
        <v>149</v>
      </c>
      <c r="D7" t="s">
        <v>150</v>
      </c>
      <c r="E7" t="s">
        <v>151</v>
      </c>
      <c r="F7" t="s">
        <v>152</v>
      </c>
      <c r="G7" t="s">
        <v>153</v>
      </c>
      <c r="H7" t="s">
        <v>154</v>
      </c>
      <c r="I7" t="s">
        <v>155</v>
      </c>
      <c r="J7" t="s">
        <v>156</v>
      </c>
      <c r="K7" t="s">
        <v>157</v>
      </c>
      <c r="L7" t="s">
        <v>158</v>
      </c>
      <c r="M7" t="s">
        <v>159</v>
      </c>
      <c r="N7" t="s">
        <v>160</v>
      </c>
    </row>
    <row r="8" spans="1:14">
      <c r="A8">
        <v>7</v>
      </c>
      <c r="B8" t="s">
        <v>75</v>
      </c>
      <c r="C8" t="s">
        <v>161</v>
      </c>
      <c r="D8" t="s">
        <v>162</v>
      </c>
      <c r="E8" t="s">
        <v>163</v>
      </c>
      <c r="F8" t="s">
        <v>164</v>
      </c>
      <c r="G8" t="s">
        <v>165</v>
      </c>
      <c r="H8" t="s">
        <v>166</v>
      </c>
      <c r="I8" t="s">
        <v>167</v>
      </c>
      <c r="J8" t="s">
        <v>168</v>
      </c>
      <c r="K8" t="s">
        <v>169</v>
      </c>
      <c r="L8" t="s">
        <v>170</v>
      </c>
      <c r="M8" t="s">
        <v>171</v>
      </c>
      <c r="N8" t="s">
        <v>172</v>
      </c>
    </row>
    <row r="9" spans="1:14">
      <c r="A9">
        <v>8</v>
      </c>
      <c r="B9" t="s">
        <v>75</v>
      </c>
      <c r="C9" t="s">
        <v>173</v>
      </c>
      <c r="D9" t="s">
        <v>174</v>
      </c>
      <c r="E9" t="s">
        <v>175</v>
      </c>
      <c r="F9" t="s">
        <v>176</v>
      </c>
      <c r="G9" t="s">
        <v>177</v>
      </c>
      <c r="H9" t="s">
        <v>178</v>
      </c>
      <c r="I9" t="s">
        <v>179</v>
      </c>
      <c r="J9" t="s">
        <v>180</v>
      </c>
      <c r="K9" t="s">
        <v>181</v>
      </c>
      <c r="L9" t="s">
        <v>182</v>
      </c>
      <c r="M9" t="s">
        <v>183</v>
      </c>
      <c r="N9" t="s">
        <v>184</v>
      </c>
    </row>
    <row r="10" spans="1:14">
      <c r="A10">
        <v>9</v>
      </c>
      <c r="B10" t="s">
        <v>75</v>
      </c>
      <c r="C10" t="s">
        <v>185</v>
      </c>
      <c r="D10" t="s">
        <v>186</v>
      </c>
      <c r="E10" t="s">
        <v>187</v>
      </c>
      <c r="F10" t="s">
        <v>188</v>
      </c>
      <c r="G10" t="s">
        <v>189</v>
      </c>
      <c r="H10" t="s">
        <v>190</v>
      </c>
      <c r="I10" t="s">
        <v>191</v>
      </c>
      <c r="J10" t="s">
        <v>192</v>
      </c>
      <c r="K10" t="s">
        <v>193</v>
      </c>
      <c r="L10" t="s">
        <v>194</v>
      </c>
      <c r="M10" t="s">
        <v>195</v>
      </c>
      <c r="N10" t="s">
        <v>196</v>
      </c>
    </row>
    <row r="11" spans="1:14">
      <c r="A11">
        <v>10</v>
      </c>
      <c r="B11" t="s">
        <v>75</v>
      </c>
      <c r="C11" t="s">
        <v>197</v>
      </c>
      <c r="D11" t="s">
        <v>198</v>
      </c>
      <c r="E11" t="s">
        <v>199</v>
      </c>
      <c r="F11" t="s">
        <v>200</v>
      </c>
      <c r="G11" t="s">
        <v>201</v>
      </c>
      <c r="H11" t="s">
        <v>202</v>
      </c>
      <c r="I11" t="s">
        <v>203</v>
      </c>
      <c r="J11" t="s">
        <v>204</v>
      </c>
      <c r="K11" t="s">
        <v>205</v>
      </c>
      <c r="L11" t="s">
        <v>206</v>
      </c>
      <c r="M11" t="s">
        <v>207</v>
      </c>
      <c r="N11" t="s">
        <v>208</v>
      </c>
    </row>
    <row r="12" spans="1:14">
      <c r="A12">
        <v>11</v>
      </c>
      <c r="B12" t="s">
        <v>75</v>
      </c>
      <c r="C12" t="s">
        <v>209</v>
      </c>
      <c r="D12" t="s">
        <v>210</v>
      </c>
      <c r="E12" t="s">
        <v>211</v>
      </c>
      <c r="F12" t="s">
        <v>212</v>
      </c>
      <c r="G12" t="s">
        <v>213</v>
      </c>
      <c r="H12" t="s">
        <v>214</v>
      </c>
      <c r="I12" t="s">
        <v>215</v>
      </c>
      <c r="J12" t="s">
        <v>216</v>
      </c>
      <c r="K12" t="s">
        <v>217</v>
      </c>
      <c r="L12" t="s">
        <v>218</v>
      </c>
      <c r="M12" t="s">
        <v>219</v>
      </c>
      <c r="N12" t="s">
        <v>220</v>
      </c>
    </row>
    <row r="13" spans="1:14">
      <c r="A13">
        <v>12</v>
      </c>
      <c r="B13" t="s">
        <v>75</v>
      </c>
      <c r="C13" t="s">
        <v>221</v>
      </c>
      <c r="D13" t="s">
        <v>222</v>
      </c>
      <c r="E13" t="s">
        <v>223</v>
      </c>
      <c r="F13" t="s">
        <v>224</v>
      </c>
      <c r="G13" t="s">
        <v>225</v>
      </c>
      <c r="H13" t="s">
        <v>226</v>
      </c>
      <c r="I13" t="s">
        <v>227</v>
      </c>
      <c r="J13" t="s">
        <v>228</v>
      </c>
      <c r="K13" t="s">
        <v>229</v>
      </c>
      <c r="L13" t="s">
        <v>230</v>
      </c>
      <c r="M13" t="s">
        <v>231</v>
      </c>
      <c r="N13" t="s">
        <v>232</v>
      </c>
    </row>
    <row r="14" spans="1:14">
      <c r="A14">
        <v>13</v>
      </c>
      <c r="B14" t="s">
        <v>75</v>
      </c>
      <c r="C14" t="s">
        <v>233</v>
      </c>
      <c r="E14" t="s">
        <v>445</v>
      </c>
      <c r="F14" t="s">
        <v>446</v>
      </c>
      <c r="G14" t="s">
        <v>447</v>
      </c>
      <c r="H14" t="s">
        <v>448</v>
      </c>
      <c r="I14" t="s">
        <v>449</v>
      </c>
      <c r="J14" t="s">
        <v>450</v>
      </c>
      <c r="K14" t="s">
        <v>451</v>
      </c>
      <c r="L14" t="s">
        <v>452</v>
      </c>
      <c r="M14" t="s">
        <v>453</v>
      </c>
      <c r="N14" t="s">
        <v>454</v>
      </c>
    </row>
    <row r="15" spans="1:14">
      <c r="A15">
        <v>14</v>
      </c>
      <c r="B15" t="s">
        <v>77</v>
      </c>
      <c r="C15" t="s">
        <v>149</v>
      </c>
      <c r="D15" t="s">
        <v>150</v>
      </c>
      <c r="E15" t="s">
        <v>234</v>
      </c>
      <c r="F15" t="s">
        <v>235</v>
      </c>
      <c r="G15" t="s">
        <v>236</v>
      </c>
      <c r="H15" t="s">
        <v>237</v>
      </c>
      <c r="I15" t="s">
        <v>238</v>
      </c>
      <c r="J15" t="s">
        <v>239</v>
      </c>
      <c r="K15" t="s">
        <v>240</v>
      </c>
      <c r="L15" t="s">
        <v>241</v>
      </c>
      <c r="M15" t="s">
        <v>242</v>
      </c>
      <c r="N15" t="s">
        <v>243</v>
      </c>
    </row>
    <row r="16" spans="1:14">
      <c r="A16">
        <v>15</v>
      </c>
      <c r="B16" t="s">
        <v>77</v>
      </c>
      <c r="C16" t="s">
        <v>161</v>
      </c>
      <c r="D16" t="s">
        <v>162</v>
      </c>
      <c r="E16" t="s">
        <v>244</v>
      </c>
      <c r="F16" t="s">
        <v>245</v>
      </c>
      <c r="G16" t="s">
        <v>246</v>
      </c>
      <c r="H16" t="s">
        <v>247</v>
      </c>
      <c r="I16" t="s">
        <v>248</v>
      </c>
      <c r="J16" t="s">
        <v>249</v>
      </c>
      <c r="K16" t="s">
        <v>250</v>
      </c>
      <c r="L16" t="s">
        <v>251</v>
      </c>
      <c r="M16" t="s">
        <v>252</v>
      </c>
      <c r="N16" t="s">
        <v>253</v>
      </c>
    </row>
    <row r="17" spans="1:14">
      <c r="A17">
        <v>16</v>
      </c>
      <c r="B17" t="s">
        <v>77</v>
      </c>
      <c r="C17" t="s">
        <v>173</v>
      </c>
      <c r="D17" t="s">
        <v>174</v>
      </c>
      <c r="E17" t="s">
        <v>254</v>
      </c>
      <c r="F17" t="s">
        <v>255</v>
      </c>
      <c r="G17" t="s">
        <v>256</v>
      </c>
      <c r="H17" t="s">
        <v>257</v>
      </c>
      <c r="I17" t="s">
        <v>258</v>
      </c>
      <c r="J17" t="s">
        <v>259</v>
      </c>
      <c r="K17" t="s">
        <v>260</v>
      </c>
      <c r="L17" t="s">
        <v>261</v>
      </c>
      <c r="M17" t="s">
        <v>262</v>
      </c>
      <c r="N17" t="s">
        <v>263</v>
      </c>
    </row>
    <row r="18" spans="1:14">
      <c r="A18">
        <v>17</v>
      </c>
      <c r="B18" t="s">
        <v>77</v>
      </c>
      <c r="C18" t="s">
        <v>185</v>
      </c>
      <c r="D18" t="s">
        <v>186</v>
      </c>
      <c r="E18" t="s">
        <v>264</v>
      </c>
      <c r="F18" t="s">
        <v>265</v>
      </c>
      <c r="G18" t="s">
        <v>266</v>
      </c>
      <c r="H18" t="s">
        <v>267</v>
      </c>
      <c r="I18" t="s">
        <v>268</v>
      </c>
      <c r="J18" t="s">
        <v>269</v>
      </c>
      <c r="K18" t="s">
        <v>270</v>
      </c>
      <c r="L18" t="s">
        <v>271</v>
      </c>
      <c r="M18" t="s">
        <v>272</v>
      </c>
      <c r="N18" t="s">
        <v>273</v>
      </c>
    </row>
    <row r="19" spans="1:14">
      <c r="A19">
        <v>18</v>
      </c>
      <c r="B19" t="s">
        <v>77</v>
      </c>
      <c r="C19" t="s">
        <v>197</v>
      </c>
      <c r="D19" t="s">
        <v>198</v>
      </c>
      <c r="E19" t="s">
        <v>274</v>
      </c>
      <c r="F19" t="s">
        <v>275</v>
      </c>
      <c r="G19" t="s">
        <v>276</v>
      </c>
      <c r="H19" t="s">
        <v>277</v>
      </c>
      <c r="I19" t="s">
        <v>278</v>
      </c>
      <c r="J19" t="s">
        <v>279</v>
      </c>
      <c r="K19" t="s">
        <v>280</v>
      </c>
      <c r="L19" t="s">
        <v>281</v>
      </c>
      <c r="M19" t="s">
        <v>282</v>
      </c>
      <c r="N19" t="s">
        <v>283</v>
      </c>
    </row>
    <row r="20" spans="1:14">
      <c r="A20">
        <v>19</v>
      </c>
      <c r="B20" t="s">
        <v>77</v>
      </c>
      <c r="C20" t="s">
        <v>209</v>
      </c>
      <c r="D20" t="s">
        <v>210</v>
      </c>
      <c r="E20" t="s">
        <v>284</v>
      </c>
      <c r="F20" t="s">
        <v>285</v>
      </c>
      <c r="G20" t="s">
        <v>286</v>
      </c>
      <c r="H20" t="s">
        <v>287</v>
      </c>
      <c r="I20" t="s">
        <v>288</v>
      </c>
      <c r="J20" t="s">
        <v>289</v>
      </c>
      <c r="K20" t="s">
        <v>290</v>
      </c>
      <c r="L20" t="s">
        <v>291</v>
      </c>
      <c r="M20" t="s">
        <v>292</v>
      </c>
      <c r="N20" t="s">
        <v>293</v>
      </c>
    </row>
    <row r="21" spans="1:14">
      <c r="A21">
        <v>20</v>
      </c>
      <c r="B21" t="s">
        <v>77</v>
      </c>
      <c r="C21" t="s">
        <v>221</v>
      </c>
      <c r="D21" t="s">
        <v>222</v>
      </c>
      <c r="E21" t="s">
        <v>294</v>
      </c>
      <c r="F21" t="s">
        <v>295</v>
      </c>
      <c r="G21" t="s">
        <v>296</v>
      </c>
      <c r="H21" t="s">
        <v>297</v>
      </c>
      <c r="I21" t="s">
        <v>298</v>
      </c>
      <c r="J21" t="s">
        <v>299</v>
      </c>
      <c r="K21" t="s">
        <v>300</v>
      </c>
      <c r="L21" t="s">
        <v>301</v>
      </c>
      <c r="M21" t="s">
        <v>302</v>
      </c>
      <c r="N21" t="s">
        <v>303</v>
      </c>
    </row>
    <row r="22" spans="1:14">
      <c r="A22">
        <v>21</v>
      </c>
      <c r="B22" t="s">
        <v>77</v>
      </c>
      <c r="C22" t="s">
        <v>233</v>
      </c>
      <c r="E22" t="s">
        <v>445</v>
      </c>
      <c r="F22" t="s">
        <v>446</v>
      </c>
      <c r="G22" t="s">
        <v>447</v>
      </c>
      <c r="H22" t="s">
        <v>448</v>
      </c>
      <c r="I22" t="s">
        <v>449</v>
      </c>
      <c r="J22" t="s">
        <v>450</v>
      </c>
      <c r="K22" t="s">
        <v>451</v>
      </c>
      <c r="L22" t="s">
        <v>452</v>
      </c>
      <c r="M22" t="s">
        <v>453</v>
      </c>
      <c r="N22" t="s">
        <v>454</v>
      </c>
    </row>
    <row r="23" spans="1:14">
      <c r="A23">
        <v>22</v>
      </c>
      <c r="B23" t="s">
        <v>78</v>
      </c>
      <c r="C23" t="s">
        <v>149</v>
      </c>
      <c r="D23" t="s">
        <v>150</v>
      </c>
      <c r="E23" t="s">
        <v>304</v>
      </c>
      <c r="F23" t="s">
        <v>305</v>
      </c>
      <c r="G23" t="s">
        <v>306</v>
      </c>
      <c r="H23" t="s">
        <v>307</v>
      </c>
      <c r="I23" t="s">
        <v>308</v>
      </c>
      <c r="J23" t="s">
        <v>309</v>
      </c>
      <c r="K23" t="s">
        <v>310</v>
      </c>
      <c r="L23" t="s">
        <v>311</v>
      </c>
      <c r="M23" t="s">
        <v>312</v>
      </c>
      <c r="N23" t="s">
        <v>313</v>
      </c>
    </row>
    <row r="24" spans="1:14">
      <c r="A24">
        <v>23</v>
      </c>
      <c r="B24" t="s">
        <v>78</v>
      </c>
      <c r="C24" t="s">
        <v>161</v>
      </c>
      <c r="D24" t="s">
        <v>162</v>
      </c>
      <c r="E24" t="s">
        <v>314</v>
      </c>
      <c r="F24" t="s">
        <v>315</v>
      </c>
      <c r="G24" t="s">
        <v>316</v>
      </c>
      <c r="H24" t="s">
        <v>317</v>
      </c>
      <c r="I24" t="s">
        <v>318</v>
      </c>
      <c r="J24" t="s">
        <v>319</v>
      </c>
      <c r="K24" t="s">
        <v>320</v>
      </c>
      <c r="L24" t="s">
        <v>321</v>
      </c>
      <c r="M24" t="s">
        <v>322</v>
      </c>
      <c r="N24" t="s">
        <v>323</v>
      </c>
    </row>
    <row r="25" spans="1:14">
      <c r="A25">
        <v>24</v>
      </c>
      <c r="B25" t="s">
        <v>78</v>
      </c>
      <c r="C25" t="s">
        <v>173</v>
      </c>
      <c r="D25" t="s">
        <v>174</v>
      </c>
      <c r="E25" t="s">
        <v>324</v>
      </c>
      <c r="F25" t="s">
        <v>325</v>
      </c>
      <c r="G25" t="s">
        <v>326</v>
      </c>
      <c r="H25" t="s">
        <v>327</v>
      </c>
      <c r="I25" t="s">
        <v>328</v>
      </c>
      <c r="J25" t="s">
        <v>329</v>
      </c>
      <c r="K25" t="s">
        <v>330</v>
      </c>
      <c r="L25" t="s">
        <v>331</v>
      </c>
      <c r="M25" t="s">
        <v>332</v>
      </c>
      <c r="N25" t="s">
        <v>333</v>
      </c>
    </row>
    <row r="26" spans="1:14">
      <c r="A26">
        <v>25</v>
      </c>
      <c r="B26" t="s">
        <v>78</v>
      </c>
      <c r="C26" t="s">
        <v>185</v>
      </c>
      <c r="D26" t="s">
        <v>186</v>
      </c>
      <c r="E26" t="s">
        <v>334</v>
      </c>
      <c r="F26" t="s">
        <v>335</v>
      </c>
      <c r="G26" t="s">
        <v>336</v>
      </c>
      <c r="H26" t="s">
        <v>337</v>
      </c>
      <c r="I26" t="s">
        <v>338</v>
      </c>
      <c r="J26" t="s">
        <v>339</v>
      </c>
      <c r="K26" t="s">
        <v>340</v>
      </c>
      <c r="L26" t="s">
        <v>341</v>
      </c>
      <c r="M26" t="s">
        <v>342</v>
      </c>
      <c r="N26" t="s">
        <v>343</v>
      </c>
    </row>
    <row r="27" spans="1:14">
      <c r="A27">
        <v>26</v>
      </c>
      <c r="B27" t="s">
        <v>78</v>
      </c>
      <c r="C27" t="s">
        <v>197</v>
      </c>
      <c r="D27" t="s">
        <v>198</v>
      </c>
      <c r="E27" t="s">
        <v>344</v>
      </c>
      <c r="F27" t="s">
        <v>345</v>
      </c>
      <c r="G27" t="s">
        <v>346</v>
      </c>
      <c r="H27" t="s">
        <v>347</v>
      </c>
      <c r="I27" t="s">
        <v>348</v>
      </c>
      <c r="J27" t="s">
        <v>349</v>
      </c>
      <c r="K27" t="s">
        <v>350</v>
      </c>
      <c r="L27" t="s">
        <v>351</v>
      </c>
      <c r="M27" t="s">
        <v>352</v>
      </c>
      <c r="N27" t="s">
        <v>353</v>
      </c>
    </row>
    <row r="28" spans="1:14">
      <c r="A28">
        <v>27</v>
      </c>
      <c r="B28" t="s">
        <v>78</v>
      </c>
      <c r="C28" t="s">
        <v>209</v>
      </c>
      <c r="D28" t="s">
        <v>210</v>
      </c>
      <c r="E28" t="s">
        <v>354</v>
      </c>
      <c r="F28" t="s">
        <v>355</v>
      </c>
      <c r="G28" t="s">
        <v>356</v>
      </c>
      <c r="H28" t="s">
        <v>357</v>
      </c>
      <c r="I28" t="s">
        <v>358</v>
      </c>
      <c r="J28" t="s">
        <v>359</v>
      </c>
      <c r="K28" t="s">
        <v>360</v>
      </c>
      <c r="L28" t="s">
        <v>361</v>
      </c>
      <c r="M28" t="s">
        <v>362</v>
      </c>
      <c r="N28" t="s">
        <v>363</v>
      </c>
    </row>
    <row r="29" spans="1:14">
      <c r="A29">
        <v>28</v>
      </c>
      <c r="B29" t="s">
        <v>78</v>
      </c>
      <c r="C29" t="s">
        <v>221</v>
      </c>
      <c r="D29" t="s">
        <v>222</v>
      </c>
      <c r="E29" t="s">
        <v>364</v>
      </c>
      <c r="F29" t="s">
        <v>365</v>
      </c>
      <c r="G29" t="s">
        <v>366</v>
      </c>
      <c r="H29" t="s">
        <v>367</v>
      </c>
      <c r="I29" t="s">
        <v>368</v>
      </c>
      <c r="J29" t="s">
        <v>369</v>
      </c>
      <c r="K29" t="s">
        <v>370</v>
      </c>
      <c r="L29" t="s">
        <v>371</v>
      </c>
      <c r="M29" t="s">
        <v>372</v>
      </c>
      <c r="N29" t="s">
        <v>373</v>
      </c>
    </row>
    <row r="30" spans="1:14">
      <c r="A30">
        <v>29</v>
      </c>
      <c r="B30" t="s">
        <v>78</v>
      </c>
      <c r="C30" t="s">
        <v>233</v>
      </c>
      <c r="E30" t="s">
        <v>445</v>
      </c>
      <c r="F30" t="s">
        <v>446</v>
      </c>
      <c r="G30" t="s">
        <v>447</v>
      </c>
      <c r="H30" t="s">
        <v>448</v>
      </c>
      <c r="I30" t="s">
        <v>449</v>
      </c>
      <c r="J30" t="s">
        <v>450</v>
      </c>
      <c r="K30" t="s">
        <v>451</v>
      </c>
      <c r="L30" t="s">
        <v>452</v>
      </c>
      <c r="M30" t="s">
        <v>453</v>
      </c>
      <c r="N30" t="s">
        <v>454</v>
      </c>
    </row>
    <row r="31" spans="1:14">
      <c r="A31">
        <v>30</v>
      </c>
      <c r="B31" t="s">
        <v>79</v>
      </c>
      <c r="C31" t="s">
        <v>149</v>
      </c>
      <c r="D31" t="s">
        <v>150</v>
      </c>
      <c r="E31" t="s">
        <v>374</v>
      </c>
      <c r="F31" t="s">
        <v>375</v>
      </c>
      <c r="G31" t="s">
        <v>376</v>
      </c>
      <c r="H31" t="s">
        <v>377</v>
      </c>
      <c r="I31" t="s">
        <v>378</v>
      </c>
      <c r="J31" t="s">
        <v>379</v>
      </c>
      <c r="K31" t="s">
        <v>380</v>
      </c>
      <c r="L31" t="s">
        <v>381</v>
      </c>
      <c r="M31" t="s">
        <v>382</v>
      </c>
      <c r="N31" t="s">
        <v>383</v>
      </c>
    </row>
    <row r="32" spans="1:14">
      <c r="A32">
        <v>31</v>
      </c>
      <c r="B32" t="s">
        <v>79</v>
      </c>
      <c r="C32" t="s">
        <v>161</v>
      </c>
      <c r="D32" t="s">
        <v>162</v>
      </c>
      <c r="E32" t="s">
        <v>384</v>
      </c>
      <c r="F32" t="s">
        <v>385</v>
      </c>
      <c r="G32" t="s">
        <v>386</v>
      </c>
      <c r="H32" t="s">
        <v>387</v>
      </c>
      <c r="I32" t="s">
        <v>388</v>
      </c>
      <c r="J32" t="s">
        <v>389</v>
      </c>
      <c r="K32" t="s">
        <v>390</v>
      </c>
      <c r="L32" t="s">
        <v>391</v>
      </c>
      <c r="M32" t="s">
        <v>392</v>
      </c>
      <c r="N32" t="s">
        <v>393</v>
      </c>
    </row>
    <row r="33" spans="1:14">
      <c r="A33">
        <v>32</v>
      </c>
      <c r="B33" t="s">
        <v>79</v>
      </c>
      <c r="C33" t="s">
        <v>173</v>
      </c>
      <c r="D33" t="s">
        <v>174</v>
      </c>
      <c r="E33" t="s">
        <v>394</v>
      </c>
      <c r="F33" t="s">
        <v>395</v>
      </c>
      <c r="G33" t="s">
        <v>396</v>
      </c>
      <c r="H33" t="s">
        <v>397</v>
      </c>
      <c r="I33" t="s">
        <v>398</v>
      </c>
      <c r="J33" t="s">
        <v>399</v>
      </c>
      <c r="K33" t="s">
        <v>400</v>
      </c>
      <c r="L33" t="s">
        <v>401</v>
      </c>
      <c r="M33" t="s">
        <v>402</v>
      </c>
      <c r="N33" t="s">
        <v>403</v>
      </c>
    </row>
    <row r="34" spans="1:14">
      <c r="A34">
        <v>33</v>
      </c>
      <c r="B34" t="s">
        <v>79</v>
      </c>
      <c r="C34" t="s">
        <v>185</v>
      </c>
      <c r="D34" t="s">
        <v>186</v>
      </c>
      <c r="E34" t="s">
        <v>404</v>
      </c>
      <c r="F34" t="s">
        <v>405</v>
      </c>
      <c r="G34" t="s">
        <v>406</v>
      </c>
      <c r="H34" t="s">
        <v>407</v>
      </c>
      <c r="I34" t="s">
        <v>408</v>
      </c>
      <c r="J34" t="s">
        <v>409</v>
      </c>
      <c r="K34" t="s">
        <v>410</v>
      </c>
      <c r="L34" t="s">
        <v>411</v>
      </c>
      <c r="M34" t="s">
        <v>412</v>
      </c>
      <c r="N34" t="s">
        <v>413</v>
      </c>
    </row>
    <row r="35" spans="1:14">
      <c r="A35">
        <v>34</v>
      </c>
      <c r="B35" t="s">
        <v>79</v>
      </c>
      <c r="C35" t="s">
        <v>197</v>
      </c>
      <c r="D35" t="s">
        <v>198</v>
      </c>
      <c r="E35" t="s">
        <v>414</v>
      </c>
      <c r="F35" t="s">
        <v>415</v>
      </c>
      <c r="G35" t="s">
        <v>416</v>
      </c>
      <c r="H35" t="s">
        <v>417</v>
      </c>
      <c r="I35" t="s">
        <v>418</v>
      </c>
      <c r="J35" t="s">
        <v>419</v>
      </c>
      <c r="K35" t="s">
        <v>420</v>
      </c>
      <c r="L35" t="s">
        <v>421</v>
      </c>
      <c r="M35" t="s">
        <v>422</v>
      </c>
      <c r="N35" t="s">
        <v>423</v>
      </c>
    </row>
    <row r="36" spans="1:14">
      <c r="A36">
        <v>35</v>
      </c>
      <c r="B36" t="s">
        <v>79</v>
      </c>
      <c r="C36" t="s">
        <v>209</v>
      </c>
      <c r="D36" t="s">
        <v>210</v>
      </c>
      <c r="E36" t="s">
        <v>424</v>
      </c>
      <c r="F36" t="s">
        <v>425</v>
      </c>
      <c r="G36" t="s">
        <v>426</v>
      </c>
      <c r="H36" t="s">
        <v>427</v>
      </c>
      <c r="I36" t="s">
        <v>428</v>
      </c>
      <c r="J36" t="s">
        <v>429</v>
      </c>
      <c r="K36" t="s">
        <v>430</v>
      </c>
      <c r="L36" t="s">
        <v>431</v>
      </c>
      <c r="M36" t="s">
        <v>432</v>
      </c>
      <c r="N36" t="s">
        <v>433</v>
      </c>
    </row>
    <row r="37" spans="1:14">
      <c r="A37">
        <v>36</v>
      </c>
      <c r="B37" t="s">
        <v>79</v>
      </c>
      <c r="C37" t="s">
        <v>221</v>
      </c>
      <c r="D37" t="s">
        <v>222</v>
      </c>
      <c r="E37" t="s">
        <v>434</v>
      </c>
      <c r="F37" t="s">
        <v>435</v>
      </c>
      <c r="G37" t="s">
        <v>436</v>
      </c>
      <c r="H37" t="s">
        <v>437</v>
      </c>
      <c r="I37" t="s">
        <v>438</v>
      </c>
      <c r="J37" t="s">
        <v>439</v>
      </c>
      <c r="K37" t="s">
        <v>440</v>
      </c>
      <c r="L37" t="s">
        <v>441</v>
      </c>
      <c r="M37" t="s">
        <v>442</v>
      </c>
      <c r="N37" t="s">
        <v>443</v>
      </c>
    </row>
    <row r="38" spans="1:14">
      <c r="A38">
        <v>37</v>
      </c>
      <c r="B38" t="s">
        <v>79</v>
      </c>
      <c r="C38" t="s">
        <v>233</v>
      </c>
      <c r="E38" t="s">
        <v>445</v>
      </c>
      <c r="F38" t="s">
        <v>446</v>
      </c>
      <c r="G38" t="s">
        <v>447</v>
      </c>
      <c r="H38" t="s">
        <v>448</v>
      </c>
      <c r="I38" t="s">
        <v>449</v>
      </c>
      <c r="J38" t="s">
        <v>450</v>
      </c>
      <c r="K38" t="s">
        <v>451</v>
      </c>
      <c r="L38" t="s">
        <v>452</v>
      </c>
      <c r="M38" t="s">
        <v>453</v>
      </c>
      <c r="N38" t="s">
        <v>454</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59"/>
  <sheetViews>
    <sheetView showGridLines="0" zoomScale="90" zoomScaleNormal="90" workbookViewId="0">
      <pane ySplit="9" topLeftCell="A10" activePane="bottomLeft" state="frozen"/>
      <selection pane="bottomLeft"/>
    </sheetView>
  </sheetViews>
  <sheetFormatPr defaultRowHeight="14.25"/>
  <cols>
    <col min="1" max="1" width="1.75" customWidth="1"/>
    <col min="2" max="2" width="11" customWidth="1"/>
    <col min="3" max="3" width="10.75" customWidth="1"/>
    <col min="4" max="4" width="22.625" customWidth="1"/>
    <col min="5" max="5" width="13.25" customWidth="1"/>
    <col min="6" max="6" width="12.75" customWidth="1"/>
    <col min="7" max="7" width="13.25" customWidth="1"/>
    <col min="8" max="8" width="15.25" customWidth="1"/>
    <col min="9" max="10" width="13.25" customWidth="1"/>
    <col min="11" max="11" width="14.875" customWidth="1"/>
    <col min="12" max="12" width="13.25" customWidth="1"/>
    <col min="13" max="13" width="14.625" customWidth="1"/>
    <col min="14" max="14" width="13.625" customWidth="1"/>
    <col min="15" max="15" width="1.75" customWidth="1"/>
  </cols>
  <sheetData>
    <row r="1" spans="2:14" ht="3.75" customHeight="1"/>
    <row r="2" spans="2:14" ht="15" customHeight="1">
      <c r="B2" s="261"/>
      <c r="C2" s="262"/>
      <c r="D2" s="262"/>
      <c r="E2" s="262"/>
      <c r="F2" s="262"/>
      <c r="G2" s="262"/>
      <c r="H2" s="262"/>
      <c r="I2" s="262"/>
      <c r="J2" s="262"/>
      <c r="K2" s="262"/>
      <c r="L2" s="262"/>
      <c r="M2" s="262"/>
      <c r="N2" s="263"/>
    </row>
    <row r="3" spans="2:14" ht="15" customHeight="1">
      <c r="B3" s="93"/>
      <c r="C3" s="81"/>
      <c r="D3" s="81"/>
      <c r="E3" s="81"/>
      <c r="F3" s="81"/>
      <c r="G3" s="168"/>
      <c r="H3" s="168"/>
      <c r="I3" s="168"/>
      <c r="J3" s="168"/>
      <c r="K3" s="81"/>
      <c r="L3" s="81"/>
      <c r="M3" s="81"/>
      <c r="N3" s="120"/>
    </row>
    <row r="4" spans="2:14" ht="20.100000000000001" customHeight="1">
      <c r="B4" s="93"/>
      <c r="C4" s="81"/>
      <c r="D4" s="81"/>
      <c r="E4" s="81"/>
      <c r="F4" s="81"/>
      <c r="G4" s="259" t="s">
        <v>880</v>
      </c>
      <c r="H4" s="259"/>
      <c r="I4" s="259"/>
      <c r="J4" s="259"/>
      <c r="K4" s="81"/>
      <c r="L4" s="81"/>
      <c r="M4" s="81"/>
      <c r="N4" s="120"/>
    </row>
    <row r="5" spans="2:14" ht="15" customHeight="1">
      <c r="B5" s="93"/>
      <c r="C5" s="81"/>
      <c r="D5" s="81"/>
      <c r="E5" s="81"/>
      <c r="F5" s="81"/>
      <c r="G5" s="253" t="s">
        <v>1100</v>
      </c>
      <c r="H5" s="253"/>
      <c r="I5" s="253"/>
      <c r="J5" s="253"/>
      <c r="K5" s="83"/>
      <c r="L5" s="82"/>
      <c r="M5" s="81"/>
      <c r="N5" s="120"/>
    </row>
    <row r="6" spans="2:14" ht="6" customHeight="1">
      <c r="B6" s="94"/>
      <c r="C6" s="89"/>
      <c r="D6" s="89"/>
      <c r="E6" s="89"/>
      <c r="F6" s="89"/>
      <c r="G6" s="90"/>
      <c r="H6" s="90"/>
      <c r="I6" s="90"/>
      <c r="J6" s="90"/>
      <c r="K6" s="91"/>
      <c r="L6" s="92"/>
      <c r="M6" s="89"/>
      <c r="N6" s="122"/>
    </row>
    <row r="7" spans="2:14" ht="15" customHeight="1">
      <c r="B7" s="94"/>
      <c r="C7" s="89"/>
      <c r="D7" s="89"/>
      <c r="E7" s="89"/>
      <c r="F7" s="89"/>
      <c r="G7" s="90"/>
      <c r="H7" s="90"/>
      <c r="I7" s="90"/>
      <c r="J7" s="90"/>
      <c r="K7" s="91"/>
      <c r="L7" s="92"/>
      <c r="M7" s="89"/>
      <c r="N7" s="122"/>
    </row>
    <row r="8" spans="2:14" ht="6" customHeight="1" thickBot="1">
      <c r="B8" s="94"/>
      <c r="C8" s="89"/>
      <c r="D8" s="89"/>
      <c r="E8" s="89"/>
      <c r="F8" s="89"/>
      <c r="G8" s="90"/>
      <c r="H8" s="90"/>
      <c r="I8" s="90"/>
      <c r="J8" s="90"/>
      <c r="K8" s="91"/>
      <c r="L8" s="92"/>
      <c r="M8" s="89"/>
      <c r="N8" s="122"/>
    </row>
    <row r="9" spans="2:14" ht="62.25" customHeight="1" thickBot="1">
      <c r="B9" s="99" t="s">
        <v>83</v>
      </c>
      <c r="C9" s="95" t="s">
        <v>84</v>
      </c>
      <c r="D9" s="95" t="s">
        <v>56</v>
      </c>
      <c r="E9" s="96" t="s">
        <v>884</v>
      </c>
      <c r="F9" s="97" t="s">
        <v>879</v>
      </c>
      <c r="G9" s="98" t="s">
        <v>934</v>
      </c>
      <c r="H9" s="98" t="s">
        <v>41</v>
      </c>
      <c r="I9" s="98" t="s">
        <v>877</v>
      </c>
      <c r="J9" s="98" t="s">
        <v>935</v>
      </c>
      <c r="K9" s="98" t="s">
        <v>40</v>
      </c>
      <c r="L9" s="98" t="s">
        <v>878</v>
      </c>
      <c r="M9" s="98" t="s">
        <v>38</v>
      </c>
      <c r="N9" s="169" t="s">
        <v>37</v>
      </c>
    </row>
    <row r="10" spans="2:14">
      <c r="B10" s="165" t="s">
        <v>33</v>
      </c>
      <c r="C10" s="162" t="s">
        <v>962</v>
      </c>
      <c r="D10" s="162" t="s">
        <v>963</v>
      </c>
      <c r="E10" s="191">
        <v>1</v>
      </c>
      <c r="F10" s="191">
        <v>36</v>
      </c>
      <c r="G10" s="189">
        <v>-2E-3</v>
      </c>
      <c r="H10" s="189">
        <v>-0.153</v>
      </c>
      <c r="I10" s="189">
        <v>0</v>
      </c>
      <c r="J10" s="189">
        <v>-4.2000000000000003E-2</v>
      </c>
      <c r="K10" s="189">
        <v>-0.104</v>
      </c>
      <c r="L10" s="189">
        <v>-0.05</v>
      </c>
      <c r="M10" s="29">
        <v>346</v>
      </c>
      <c r="N10" s="171" t="s">
        <v>960</v>
      </c>
    </row>
    <row r="11" spans="2:14">
      <c r="B11" s="166" t="s">
        <v>34</v>
      </c>
      <c r="C11" s="163" t="s">
        <v>964</v>
      </c>
      <c r="D11" s="163" t="s">
        <v>965</v>
      </c>
      <c r="E11" s="192">
        <v>4</v>
      </c>
      <c r="F11" s="192">
        <v>1</v>
      </c>
      <c r="G11" s="190">
        <v>-0.1</v>
      </c>
      <c r="H11" s="190">
        <v>2.8000000000000001E-2</v>
      </c>
      <c r="I11" s="190">
        <v>0.125</v>
      </c>
      <c r="J11" s="190">
        <v>0.157</v>
      </c>
      <c r="K11" s="190">
        <v>-5.3999999999999999E-2</v>
      </c>
      <c r="L11" s="190">
        <v>-0.15</v>
      </c>
      <c r="M11" s="26">
        <v>186</v>
      </c>
      <c r="N11" s="172" t="s">
        <v>966</v>
      </c>
    </row>
    <row r="12" spans="2:14">
      <c r="B12" s="165" t="s">
        <v>28</v>
      </c>
      <c r="C12" s="162" t="s">
        <v>967</v>
      </c>
      <c r="D12" s="162" t="s">
        <v>968</v>
      </c>
      <c r="E12" s="191">
        <v>20</v>
      </c>
      <c r="F12" s="191">
        <v>20</v>
      </c>
      <c r="G12" s="189">
        <v>-0.16600000000000001</v>
      </c>
      <c r="H12" s="189">
        <v>-0.21099999999999999</v>
      </c>
      <c r="I12" s="189">
        <v>-0.33300000000000002</v>
      </c>
      <c r="J12" s="189">
        <v>-1.7000000000000001E-2</v>
      </c>
      <c r="K12" s="189">
        <v>-6.9000000000000006E-2</v>
      </c>
      <c r="L12" s="189">
        <v>-5.5E-2</v>
      </c>
      <c r="M12" s="29">
        <v>447</v>
      </c>
      <c r="N12" s="171" t="s">
        <v>957</v>
      </c>
    </row>
    <row r="13" spans="2:14">
      <c r="B13" s="166" t="s">
        <v>20</v>
      </c>
      <c r="C13" s="163" t="s">
        <v>969</v>
      </c>
      <c r="D13" s="163" t="s">
        <v>970</v>
      </c>
      <c r="E13" s="192">
        <v>10</v>
      </c>
      <c r="F13" s="192">
        <v>39</v>
      </c>
      <c r="G13" s="190">
        <v>-0.14099999999999999</v>
      </c>
      <c r="H13" s="190">
        <v>-0.128</v>
      </c>
      <c r="I13" s="190">
        <v>0</v>
      </c>
      <c r="J13" s="190">
        <v>-4.9000000000000002E-2</v>
      </c>
      <c r="K13" s="190">
        <v>-0.151</v>
      </c>
      <c r="L13" s="190">
        <v>-0.10299999999999999</v>
      </c>
      <c r="M13" s="26">
        <v>503</v>
      </c>
      <c r="N13" s="172" t="s">
        <v>958</v>
      </c>
    </row>
    <row r="14" spans="2:14">
      <c r="B14" s="165" t="s">
        <v>33</v>
      </c>
      <c r="C14" s="162" t="s">
        <v>971</v>
      </c>
      <c r="D14" s="162" t="s">
        <v>972</v>
      </c>
      <c r="E14" s="191">
        <v>31</v>
      </c>
      <c r="F14" s="191">
        <v>15</v>
      </c>
      <c r="G14" s="189">
        <v>-0.216</v>
      </c>
      <c r="H14" s="189">
        <v>7.0000000000000001E-3</v>
      </c>
      <c r="I14" s="189">
        <v>-0.14299999999999999</v>
      </c>
      <c r="J14" s="189">
        <v>-5.0000000000000001E-3</v>
      </c>
      <c r="K14" s="189">
        <v>-0.11600000000000001</v>
      </c>
      <c r="L14" s="189">
        <v>0.01</v>
      </c>
      <c r="M14" s="29">
        <v>404</v>
      </c>
      <c r="N14" s="171" t="s">
        <v>973</v>
      </c>
    </row>
    <row r="15" spans="2:14">
      <c r="B15" s="166" t="s">
        <v>28</v>
      </c>
      <c r="C15" s="163" t="s">
        <v>974</v>
      </c>
      <c r="D15" s="163" t="s">
        <v>975</v>
      </c>
      <c r="E15" s="192">
        <v>8</v>
      </c>
      <c r="F15" s="192">
        <v>47</v>
      </c>
      <c r="G15" s="190">
        <v>-0.11799999999999999</v>
      </c>
      <c r="H15" s="190">
        <v>-0.123</v>
      </c>
      <c r="I15" s="190">
        <v>0.16700000000000001</v>
      </c>
      <c r="J15" s="190">
        <v>-7.4999999999999997E-2</v>
      </c>
      <c r="K15" s="190">
        <v>-0.13100000000000001</v>
      </c>
      <c r="L15" s="190">
        <v>-0.24199999999999999</v>
      </c>
      <c r="M15" s="26">
        <v>450</v>
      </c>
      <c r="N15" s="172" t="s">
        <v>957</v>
      </c>
    </row>
    <row r="16" spans="2:14">
      <c r="B16" s="165" t="s">
        <v>23</v>
      </c>
      <c r="C16" s="162" t="s">
        <v>976</v>
      </c>
      <c r="D16" s="162" t="s">
        <v>977</v>
      </c>
      <c r="E16" s="191">
        <v>22</v>
      </c>
      <c r="F16" s="191">
        <v>5</v>
      </c>
      <c r="G16" s="189">
        <v>-0.17</v>
      </c>
      <c r="H16" s="189">
        <v>-0.17899999999999999</v>
      </c>
      <c r="I16" s="189">
        <v>-0.111</v>
      </c>
      <c r="J16" s="189">
        <v>3.4000000000000002E-2</v>
      </c>
      <c r="K16" s="189">
        <v>-0.13400000000000001</v>
      </c>
      <c r="L16" s="189">
        <v>-2.4E-2</v>
      </c>
      <c r="M16" s="29">
        <v>467</v>
      </c>
      <c r="N16" s="171" t="s">
        <v>960</v>
      </c>
    </row>
    <row r="17" spans="2:14">
      <c r="B17" s="166" t="s">
        <v>30</v>
      </c>
      <c r="C17" s="163" t="s">
        <v>978</v>
      </c>
      <c r="D17" s="163" t="s">
        <v>979</v>
      </c>
      <c r="E17" s="192">
        <v>22</v>
      </c>
      <c r="F17" s="192">
        <v>10</v>
      </c>
      <c r="G17" s="190">
        <v>-0.17</v>
      </c>
      <c r="H17" s="190">
        <v>0.10100000000000001</v>
      </c>
      <c r="I17" s="190">
        <v>-0.33300000000000002</v>
      </c>
      <c r="J17" s="190">
        <v>1.4E-2</v>
      </c>
      <c r="K17" s="190">
        <v>-6.4000000000000001E-2</v>
      </c>
      <c r="L17" s="190">
        <v>-0.193</v>
      </c>
      <c r="M17" s="26">
        <v>446</v>
      </c>
      <c r="N17" s="172" t="s">
        <v>980</v>
      </c>
    </row>
    <row r="18" spans="2:14">
      <c r="B18" s="165" t="s">
        <v>33</v>
      </c>
      <c r="C18" s="162" t="s">
        <v>981</v>
      </c>
      <c r="D18" s="162" t="s">
        <v>982</v>
      </c>
      <c r="E18" s="191">
        <v>21</v>
      </c>
      <c r="F18" s="191">
        <v>18</v>
      </c>
      <c r="G18" s="189">
        <v>-0.16800000000000001</v>
      </c>
      <c r="H18" s="189">
        <v>-0.34399999999999997</v>
      </c>
      <c r="I18" s="189">
        <v>-0.7</v>
      </c>
      <c r="J18" s="189">
        <v>-1.2E-2</v>
      </c>
      <c r="K18" s="189">
        <v>-0.112</v>
      </c>
      <c r="L18" s="189">
        <v>4.7E-2</v>
      </c>
      <c r="M18" s="29">
        <v>404</v>
      </c>
      <c r="N18" s="171" t="s">
        <v>959</v>
      </c>
    </row>
    <row r="19" spans="2:14">
      <c r="B19" s="166" t="s">
        <v>25</v>
      </c>
      <c r="C19" s="163" t="s">
        <v>983</v>
      </c>
      <c r="D19" s="163" t="s">
        <v>984</v>
      </c>
      <c r="E19" s="192">
        <v>44</v>
      </c>
      <c r="F19" s="192">
        <v>9</v>
      </c>
      <c r="G19" s="190">
        <v>-0.29099999999999998</v>
      </c>
      <c r="H19" s="190">
        <v>-0.33800000000000002</v>
      </c>
      <c r="I19" s="190">
        <v>-0.33300000000000002</v>
      </c>
      <c r="J19" s="190">
        <v>1.7000000000000001E-2</v>
      </c>
      <c r="K19" s="190">
        <v>-0.151</v>
      </c>
      <c r="L19" s="190">
        <v>-3.2000000000000001E-2</v>
      </c>
      <c r="M19" s="26">
        <v>335</v>
      </c>
      <c r="N19" s="172" t="s">
        <v>958</v>
      </c>
    </row>
    <row r="20" spans="2:14">
      <c r="B20" s="165" t="s">
        <v>28</v>
      </c>
      <c r="C20" s="162" t="s">
        <v>985</v>
      </c>
      <c r="D20" s="162" t="s">
        <v>986</v>
      </c>
      <c r="E20" s="191">
        <v>39</v>
      </c>
      <c r="F20" s="191">
        <v>48</v>
      </c>
      <c r="G20" s="189">
        <v>-0.253</v>
      </c>
      <c r="H20" s="189">
        <v>-0.503</v>
      </c>
      <c r="I20" s="189">
        <v>0.25</v>
      </c>
      <c r="J20" s="189">
        <v>-0.08</v>
      </c>
      <c r="K20" s="189">
        <v>-0.16600000000000001</v>
      </c>
      <c r="L20" s="189">
        <v>-0.30099999999999999</v>
      </c>
      <c r="M20" s="29">
        <v>448</v>
      </c>
      <c r="N20" s="171" t="s">
        <v>987</v>
      </c>
    </row>
    <row r="21" spans="2:14">
      <c r="B21" s="166" t="s">
        <v>28</v>
      </c>
      <c r="C21" s="163" t="s">
        <v>62</v>
      </c>
      <c r="D21" s="163" t="s">
        <v>63</v>
      </c>
      <c r="E21" s="192">
        <v>32</v>
      </c>
      <c r="F21" s="192">
        <v>45</v>
      </c>
      <c r="G21" s="190">
        <v>-0.221</v>
      </c>
      <c r="H21" s="190">
        <v>-0.22500000000000001</v>
      </c>
      <c r="I21" s="190">
        <v>-0.3</v>
      </c>
      <c r="J21" s="190">
        <v>-6.8000000000000005E-2</v>
      </c>
      <c r="K21" s="190">
        <v>-0.14000000000000001</v>
      </c>
      <c r="L21" s="190">
        <v>-0.128</v>
      </c>
      <c r="M21" s="26">
        <v>411</v>
      </c>
      <c r="N21" s="172" t="s">
        <v>958</v>
      </c>
    </row>
    <row r="22" spans="2:14">
      <c r="B22" s="165" t="s">
        <v>23</v>
      </c>
      <c r="C22" s="162" t="s">
        <v>988</v>
      </c>
      <c r="D22" s="162" t="s">
        <v>989</v>
      </c>
      <c r="E22" s="191">
        <v>37</v>
      </c>
      <c r="F22" s="191">
        <v>32</v>
      </c>
      <c r="G22" s="189">
        <v>-0.24</v>
      </c>
      <c r="H22" s="189">
        <v>-0.255</v>
      </c>
      <c r="I22" s="189">
        <v>-0.14299999999999999</v>
      </c>
      <c r="J22" s="189">
        <v>-3.3000000000000002E-2</v>
      </c>
      <c r="K22" s="189">
        <v>-0.111</v>
      </c>
      <c r="L22" s="189">
        <v>-0.17299999999999999</v>
      </c>
      <c r="M22" s="29">
        <v>346</v>
      </c>
      <c r="N22" s="171" t="s">
        <v>957</v>
      </c>
    </row>
    <row r="23" spans="2:14">
      <c r="B23" s="166" t="s">
        <v>20</v>
      </c>
      <c r="C23" s="163" t="s">
        <v>990</v>
      </c>
      <c r="D23" s="163" t="s">
        <v>991</v>
      </c>
      <c r="E23" s="192">
        <v>47</v>
      </c>
      <c r="F23" s="192">
        <v>23</v>
      </c>
      <c r="G23" s="190">
        <v>-0.36099999999999999</v>
      </c>
      <c r="H23" s="190">
        <v>-0.23699999999999999</v>
      </c>
      <c r="I23" s="190">
        <v>-0.88900000000000001</v>
      </c>
      <c r="J23" s="190">
        <v>-2.1999999999999999E-2</v>
      </c>
      <c r="K23" s="190">
        <v>-0.13400000000000001</v>
      </c>
      <c r="L23" s="190">
        <v>-9.7000000000000003E-2</v>
      </c>
      <c r="M23" s="26">
        <v>390</v>
      </c>
      <c r="N23" s="172" t="s">
        <v>958</v>
      </c>
    </row>
    <row r="24" spans="2:14">
      <c r="B24" s="165" t="s">
        <v>25</v>
      </c>
      <c r="C24" s="162" t="s">
        <v>992</v>
      </c>
      <c r="D24" s="162" t="s">
        <v>993</v>
      </c>
      <c r="E24" s="191">
        <v>16</v>
      </c>
      <c r="F24" s="191">
        <v>46</v>
      </c>
      <c r="G24" s="189">
        <v>-0.155</v>
      </c>
      <c r="H24" s="189">
        <v>-7.4999999999999997E-2</v>
      </c>
      <c r="I24" s="189">
        <v>-0.53800000000000003</v>
      </c>
      <c r="J24" s="189">
        <v>-7.2999999999999995E-2</v>
      </c>
      <c r="K24" s="189">
        <v>-0.109</v>
      </c>
      <c r="L24" s="189">
        <v>-0.121</v>
      </c>
      <c r="M24" s="29">
        <v>363</v>
      </c>
      <c r="N24" s="171" t="s">
        <v>961</v>
      </c>
    </row>
    <row r="25" spans="2:14">
      <c r="B25" s="166" t="s">
        <v>20</v>
      </c>
      <c r="C25" s="163" t="s">
        <v>994</v>
      </c>
      <c r="D25" s="163" t="s">
        <v>995</v>
      </c>
      <c r="E25" s="192">
        <v>28</v>
      </c>
      <c r="F25" s="192">
        <v>31</v>
      </c>
      <c r="G25" s="190">
        <v>-0.20100000000000001</v>
      </c>
      <c r="H25" s="190">
        <v>-0.22</v>
      </c>
      <c r="I25" s="190">
        <v>0</v>
      </c>
      <c r="J25" s="190">
        <v>-3.1E-2</v>
      </c>
      <c r="K25" s="190">
        <v>-0.126</v>
      </c>
      <c r="L25" s="190">
        <v>0.11</v>
      </c>
      <c r="M25" s="26">
        <v>279</v>
      </c>
      <c r="N25" s="172" t="s">
        <v>960</v>
      </c>
    </row>
    <row r="26" spans="2:14">
      <c r="B26" s="165" t="s">
        <v>25</v>
      </c>
      <c r="C26" s="162" t="s">
        <v>996</v>
      </c>
      <c r="D26" s="162" t="s">
        <v>997</v>
      </c>
      <c r="E26" s="191">
        <v>45</v>
      </c>
      <c r="F26" s="191">
        <v>4</v>
      </c>
      <c r="G26" s="189">
        <v>-0.30299999999999999</v>
      </c>
      <c r="H26" s="189">
        <v>-0.16900000000000001</v>
      </c>
      <c r="I26" s="189">
        <v>-0.7</v>
      </c>
      <c r="J26" s="189">
        <v>6.3E-2</v>
      </c>
      <c r="K26" s="189">
        <v>-0.104</v>
      </c>
      <c r="L26" s="189">
        <v>3.4000000000000002E-2</v>
      </c>
      <c r="M26" s="29">
        <v>285</v>
      </c>
      <c r="N26" s="171" t="s">
        <v>957</v>
      </c>
    </row>
    <row r="27" spans="2:14">
      <c r="B27" s="166" t="s">
        <v>28</v>
      </c>
      <c r="C27" s="163" t="s">
        <v>998</v>
      </c>
      <c r="D27" s="163" t="s">
        <v>999</v>
      </c>
      <c r="E27" s="192">
        <v>17</v>
      </c>
      <c r="F27" s="192">
        <v>34</v>
      </c>
      <c r="G27" s="190">
        <v>-0.157</v>
      </c>
      <c r="H27" s="190">
        <v>-1.2E-2</v>
      </c>
      <c r="I27" s="190">
        <v>0.36399999999999999</v>
      </c>
      <c r="J27" s="190">
        <v>-3.4000000000000002E-2</v>
      </c>
      <c r="K27" s="190">
        <v>-9.0999999999999998E-2</v>
      </c>
      <c r="L27" s="190">
        <v>4.1000000000000002E-2</v>
      </c>
      <c r="M27" s="26">
        <v>300</v>
      </c>
      <c r="N27" s="172" t="s">
        <v>966</v>
      </c>
    </row>
    <row r="28" spans="2:14">
      <c r="B28" s="165" t="s">
        <v>34</v>
      </c>
      <c r="C28" s="162" t="s">
        <v>1000</v>
      </c>
      <c r="D28" s="162" t="s">
        <v>1001</v>
      </c>
      <c r="E28" s="191">
        <v>7</v>
      </c>
      <c r="F28" s="191">
        <v>6</v>
      </c>
      <c r="G28" s="189">
        <v>-0.11700000000000001</v>
      </c>
      <c r="H28" s="189">
        <v>-0.11899999999999999</v>
      </c>
      <c r="I28" s="189">
        <v>0</v>
      </c>
      <c r="J28" s="189">
        <v>2.7E-2</v>
      </c>
      <c r="K28" s="189">
        <v>-7.6999999999999999E-2</v>
      </c>
      <c r="L28" s="189">
        <v>3.5999999999999997E-2</v>
      </c>
      <c r="M28" s="29">
        <v>301</v>
      </c>
      <c r="N28" s="171" t="s">
        <v>959</v>
      </c>
    </row>
    <row r="29" spans="2:14">
      <c r="B29" s="166" t="s">
        <v>33</v>
      </c>
      <c r="C29" s="163" t="s">
        <v>1002</v>
      </c>
      <c r="D29" s="163" t="s">
        <v>1003</v>
      </c>
      <c r="E29" s="192">
        <v>42</v>
      </c>
      <c r="F29" s="192">
        <v>3</v>
      </c>
      <c r="G29" s="190">
        <v>-0.27500000000000002</v>
      </c>
      <c r="H29" s="190">
        <v>-0.219</v>
      </c>
      <c r="I29" s="190">
        <v>-0.125</v>
      </c>
      <c r="J29" s="190">
        <v>7.1999999999999995E-2</v>
      </c>
      <c r="K29" s="190">
        <v>-5.3999999999999999E-2</v>
      </c>
      <c r="L29" s="190">
        <v>-2.1999999999999999E-2</v>
      </c>
      <c r="M29" s="26">
        <v>220</v>
      </c>
      <c r="N29" s="172" t="s">
        <v>958</v>
      </c>
    </row>
    <row r="30" spans="2:14">
      <c r="B30" s="165" t="s">
        <v>20</v>
      </c>
      <c r="C30" s="162" t="s">
        <v>1004</v>
      </c>
      <c r="D30" s="162" t="s">
        <v>1005</v>
      </c>
      <c r="E30" s="191">
        <v>46</v>
      </c>
      <c r="F30" s="191">
        <v>7</v>
      </c>
      <c r="G30" s="189">
        <v>-0.30399999999999999</v>
      </c>
      <c r="H30" s="189">
        <v>-0.29099999999999998</v>
      </c>
      <c r="I30" s="189">
        <v>-0.4</v>
      </c>
      <c r="J30" s="189">
        <v>2.5000000000000001E-2</v>
      </c>
      <c r="K30" s="189">
        <v>-0.12</v>
      </c>
      <c r="L30" s="189">
        <v>-0.13300000000000001</v>
      </c>
      <c r="M30" s="29">
        <v>316</v>
      </c>
      <c r="N30" s="171" t="s">
        <v>960</v>
      </c>
    </row>
    <row r="31" spans="2:14">
      <c r="B31" s="166" t="s">
        <v>23</v>
      </c>
      <c r="C31" s="163" t="s">
        <v>1006</v>
      </c>
      <c r="D31" s="163" t="s">
        <v>1007</v>
      </c>
      <c r="E31" s="192">
        <v>27</v>
      </c>
      <c r="F31" s="192">
        <v>22</v>
      </c>
      <c r="G31" s="190">
        <v>-0.189</v>
      </c>
      <c r="H31" s="190">
        <v>-0.14799999999999999</v>
      </c>
      <c r="I31" s="190">
        <v>-0.25</v>
      </c>
      <c r="J31" s="190">
        <v>-0.02</v>
      </c>
      <c r="K31" s="190">
        <v>-9.5000000000000001E-2</v>
      </c>
      <c r="L31" s="190">
        <v>-0.20100000000000001</v>
      </c>
      <c r="M31" s="26">
        <v>355</v>
      </c>
      <c r="N31" s="172" t="s">
        <v>959</v>
      </c>
    </row>
    <row r="32" spans="2:14">
      <c r="B32" s="165" t="s">
        <v>30</v>
      </c>
      <c r="C32" s="162" t="s">
        <v>1008</v>
      </c>
      <c r="D32" s="162" t="s">
        <v>1009</v>
      </c>
      <c r="E32" s="191">
        <v>26</v>
      </c>
      <c r="F32" s="191">
        <v>27</v>
      </c>
      <c r="G32" s="189">
        <v>-0.187</v>
      </c>
      <c r="H32" s="189">
        <v>-0.249</v>
      </c>
      <c r="I32" s="189">
        <v>2.3330000000000002</v>
      </c>
      <c r="J32" s="189">
        <v>-2.7E-2</v>
      </c>
      <c r="K32" s="189">
        <v>-0.129</v>
      </c>
      <c r="L32" s="189">
        <v>-0.14000000000000001</v>
      </c>
      <c r="M32" s="29">
        <v>448</v>
      </c>
      <c r="N32" s="171" t="s">
        <v>987</v>
      </c>
    </row>
    <row r="33" spans="2:14">
      <c r="B33" s="166" t="s">
        <v>28</v>
      </c>
      <c r="C33" s="163" t="s">
        <v>1010</v>
      </c>
      <c r="D33" s="163" t="s">
        <v>1011</v>
      </c>
      <c r="E33" s="192">
        <v>13</v>
      </c>
      <c r="F33" s="192">
        <v>43</v>
      </c>
      <c r="G33" s="190">
        <v>-0.14799999999999999</v>
      </c>
      <c r="H33" s="190">
        <v>-0.24299999999999999</v>
      </c>
      <c r="I33" s="190">
        <v>0</v>
      </c>
      <c r="J33" s="190">
        <v>-5.8999999999999997E-2</v>
      </c>
      <c r="K33" s="190">
        <v>-0.115</v>
      </c>
      <c r="L33" s="190">
        <v>-0.21</v>
      </c>
      <c r="M33" s="26">
        <v>403</v>
      </c>
      <c r="N33" s="172" t="s">
        <v>987</v>
      </c>
    </row>
    <row r="34" spans="2:14">
      <c r="B34" s="165" t="s">
        <v>23</v>
      </c>
      <c r="C34" s="162" t="s">
        <v>1012</v>
      </c>
      <c r="D34" s="162" t="s">
        <v>1013</v>
      </c>
      <c r="E34" s="191">
        <v>40</v>
      </c>
      <c r="F34" s="191">
        <v>27</v>
      </c>
      <c r="G34" s="189">
        <v>-0.255</v>
      </c>
      <c r="H34" s="189">
        <v>-0.27100000000000002</v>
      </c>
      <c r="I34" s="189">
        <v>-0.76900000000000002</v>
      </c>
      <c r="J34" s="189">
        <v>-2.7E-2</v>
      </c>
      <c r="K34" s="189">
        <v>-0.13300000000000001</v>
      </c>
      <c r="L34" s="189">
        <v>-9.8000000000000004E-2</v>
      </c>
      <c r="M34" s="29">
        <v>401</v>
      </c>
      <c r="N34" s="171" t="s">
        <v>958</v>
      </c>
    </row>
    <row r="35" spans="2:14">
      <c r="B35" s="166" t="s">
        <v>25</v>
      </c>
      <c r="C35" s="163" t="s">
        <v>1014</v>
      </c>
      <c r="D35" s="163" t="s">
        <v>1015</v>
      </c>
      <c r="E35" s="192">
        <v>15</v>
      </c>
      <c r="F35" s="192">
        <v>7</v>
      </c>
      <c r="G35" s="190">
        <v>-0.152</v>
      </c>
      <c r="H35" s="190">
        <v>-6.2E-2</v>
      </c>
      <c r="I35" s="190">
        <v>-0.15</v>
      </c>
      <c r="J35" s="190">
        <v>2.5000000000000001E-2</v>
      </c>
      <c r="K35" s="190">
        <v>-0.14499999999999999</v>
      </c>
      <c r="L35" s="190">
        <v>8.2000000000000003E-2</v>
      </c>
      <c r="M35" s="26">
        <v>429</v>
      </c>
      <c r="N35" s="172" t="s">
        <v>960</v>
      </c>
    </row>
    <row r="36" spans="2:14">
      <c r="B36" s="165" t="s">
        <v>23</v>
      </c>
      <c r="C36" s="162" t="s">
        <v>1016</v>
      </c>
      <c r="D36" s="162" t="s">
        <v>1017</v>
      </c>
      <c r="E36" s="191">
        <v>43</v>
      </c>
      <c r="F36" s="191">
        <v>38</v>
      </c>
      <c r="G36" s="189">
        <v>-0.28100000000000003</v>
      </c>
      <c r="H36" s="189">
        <v>-0.22500000000000001</v>
      </c>
      <c r="I36" s="189">
        <v>0.6</v>
      </c>
      <c r="J36" s="189">
        <v>-4.8000000000000001E-2</v>
      </c>
      <c r="K36" s="189">
        <v>-9.6000000000000002E-2</v>
      </c>
      <c r="L36" s="189">
        <v>2.3E-2</v>
      </c>
      <c r="M36" s="29">
        <v>276</v>
      </c>
      <c r="N36" s="171" t="s">
        <v>959</v>
      </c>
    </row>
    <row r="37" spans="2:14">
      <c r="B37" s="166" t="s">
        <v>30</v>
      </c>
      <c r="C37" s="163" t="s">
        <v>1018</v>
      </c>
      <c r="D37" s="163" t="s">
        <v>1019</v>
      </c>
      <c r="E37" s="192">
        <v>14</v>
      </c>
      <c r="F37" s="192">
        <v>32</v>
      </c>
      <c r="G37" s="190">
        <v>-0.15</v>
      </c>
      <c r="H37" s="190">
        <v>-0.111</v>
      </c>
      <c r="I37" s="190">
        <v>-0.308</v>
      </c>
      <c r="J37" s="190">
        <v>-3.3000000000000002E-2</v>
      </c>
      <c r="K37" s="190">
        <v>-0.124</v>
      </c>
      <c r="L37" s="190">
        <v>-0.16400000000000001</v>
      </c>
      <c r="M37" s="26">
        <v>350</v>
      </c>
      <c r="N37" s="172" t="s">
        <v>957</v>
      </c>
    </row>
    <row r="38" spans="2:14">
      <c r="B38" s="165" t="s">
        <v>30</v>
      </c>
      <c r="C38" s="162" t="s">
        <v>1020</v>
      </c>
      <c r="D38" s="162" t="s">
        <v>1021</v>
      </c>
      <c r="E38" s="191">
        <v>33</v>
      </c>
      <c r="F38" s="191">
        <v>35</v>
      </c>
      <c r="G38" s="189">
        <v>-0.22700000000000001</v>
      </c>
      <c r="H38" s="189">
        <v>-0.16800000000000001</v>
      </c>
      <c r="I38" s="189">
        <v>-0.111</v>
      </c>
      <c r="J38" s="189">
        <v>-3.6999999999999998E-2</v>
      </c>
      <c r="K38" s="189">
        <v>-0.13100000000000001</v>
      </c>
      <c r="L38" s="189">
        <v>-0.13100000000000001</v>
      </c>
      <c r="M38" s="29">
        <v>358</v>
      </c>
      <c r="N38" s="171" t="s">
        <v>958</v>
      </c>
    </row>
    <row r="39" spans="2:14">
      <c r="B39" s="166" t="s">
        <v>34</v>
      </c>
      <c r="C39" s="163" t="s">
        <v>1022</v>
      </c>
      <c r="D39" s="163" t="s">
        <v>1023</v>
      </c>
      <c r="E39" s="192">
        <v>2</v>
      </c>
      <c r="F39" s="192">
        <v>11</v>
      </c>
      <c r="G39" s="190">
        <v>-8.9999999999999993E-3</v>
      </c>
      <c r="H39" s="190">
        <v>-0.14000000000000001</v>
      </c>
      <c r="I39" s="190">
        <v>-0.63600000000000001</v>
      </c>
      <c r="J39" s="190">
        <v>1.0999999999999999E-2</v>
      </c>
      <c r="K39" s="190">
        <v>-7.1999999999999995E-2</v>
      </c>
      <c r="L39" s="190">
        <v>-0.15</v>
      </c>
      <c r="M39" s="26">
        <v>259</v>
      </c>
      <c r="N39" s="172" t="s">
        <v>958</v>
      </c>
    </row>
    <row r="40" spans="2:14">
      <c r="B40" s="165" t="s">
        <v>34</v>
      </c>
      <c r="C40" s="162" t="s">
        <v>1024</v>
      </c>
      <c r="D40" s="162" t="s">
        <v>1025</v>
      </c>
      <c r="E40" s="191">
        <v>18</v>
      </c>
      <c r="F40" s="191">
        <v>21</v>
      </c>
      <c r="G40" s="189">
        <v>-0.16400000000000001</v>
      </c>
      <c r="H40" s="189">
        <v>-0.13300000000000001</v>
      </c>
      <c r="I40" s="189">
        <v>0.625</v>
      </c>
      <c r="J40" s="189">
        <v>-1.7999999999999999E-2</v>
      </c>
      <c r="K40" s="189">
        <v>-6.2E-2</v>
      </c>
      <c r="L40" s="189">
        <v>-0.13300000000000001</v>
      </c>
      <c r="M40" s="29">
        <v>248</v>
      </c>
      <c r="N40" s="171" t="s">
        <v>966</v>
      </c>
    </row>
    <row r="41" spans="2:14">
      <c r="B41" s="166" t="s">
        <v>34</v>
      </c>
      <c r="C41" s="163" t="s">
        <v>1026</v>
      </c>
      <c r="D41" s="163" t="s">
        <v>1027</v>
      </c>
      <c r="E41" s="192">
        <v>9</v>
      </c>
      <c r="F41" s="192">
        <v>23</v>
      </c>
      <c r="G41" s="190">
        <v>-0.126</v>
      </c>
      <c r="H41" s="190">
        <v>3.5999999999999997E-2</v>
      </c>
      <c r="I41" s="190">
        <v>-0.7</v>
      </c>
      <c r="J41" s="190">
        <v>-2.1999999999999999E-2</v>
      </c>
      <c r="K41" s="190">
        <v>-0.06</v>
      </c>
      <c r="L41" s="190">
        <v>4.5999999999999999E-2</v>
      </c>
      <c r="M41" s="26">
        <v>312</v>
      </c>
      <c r="N41" s="172" t="s">
        <v>966</v>
      </c>
    </row>
    <row r="42" spans="2:14">
      <c r="B42" s="165" t="s">
        <v>33</v>
      </c>
      <c r="C42" s="162" t="s">
        <v>1028</v>
      </c>
      <c r="D42" s="162" t="s">
        <v>1029</v>
      </c>
      <c r="E42" s="191">
        <v>5</v>
      </c>
      <c r="F42" s="191">
        <v>39</v>
      </c>
      <c r="G42" s="189">
        <v>-0.107</v>
      </c>
      <c r="H42" s="189">
        <v>-0.376</v>
      </c>
      <c r="I42" s="189">
        <v>-0.66700000000000004</v>
      </c>
      <c r="J42" s="189">
        <v>-4.9000000000000002E-2</v>
      </c>
      <c r="K42" s="189">
        <v>-0.106</v>
      </c>
      <c r="L42" s="189">
        <v>-0.255</v>
      </c>
      <c r="M42" s="29">
        <v>350</v>
      </c>
      <c r="N42" s="171" t="s">
        <v>957</v>
      </c>
    </row>
    <row r="43" spans="2:14">
      <c r="B43" s="166" t="s">
        <v>20</v>
      </c>
      <c r="C43" s="163" t="s">
        <v>1030</v>
      </c>
      <c r="D43" s="163" t="s">
        <v>1031</v>
      </c>
      <c r="E43" s="192">
        <v>48</v>
      </c>
      <c r="F43" s="192">
        <v>12</v>
      </c>
      <c r="G43" s="190">
        <v>-0.378</v>
      </c>
      <c r="H43" s="190">
        <v>-0.188</v>
      </c>
      <c r="I43" s="190">
        <v>-0.25</v>
      </c>
      <c r="J43" s="190">
        <v>-1E-3</v>
      </c>
      <c r="K43" s="190">
        <v>-0.14099999999999999</v>
      </c>
      <c r="L43" s="190">
        <v>3.6999999999999998E-2</v>
      </c>
      <c r="M43" s="26">
        <v>297</v>
      </c>
      <c r="N43" s="172" t="s">
        <v>958</v>
      </c>
    </row>
    <row r="44" spans="2:14">
      <c r="B44" s="165" t="s">
        <v>25</v>
      </c>
      <c r="C44" s="162" t="s">
        <v>1032</v>
      </c>
      <c r="D44" s="162" t="s">
        <v>1033</v>
      </c>
      <c r="E44" s="191">
        <v>36</v>
      </c>
      <c r="F44" s="191">
        <v>26</v>
      </c>
      <c r="G44" s="189">
        <v>-0.23699999999999999</v>
      </c>
      <c r="H44" s="189">
        <v>-0.23699999999999999</v>
      </c>
      <c r="I44" s="189">
        <v>-0.28599999999999998</v>
      </c>
      <c r="J44" s="189">
        <v>-2.5000000000000001E-2</v>
      </c>
      <c r="K44" s="189">
        <v>-0.13</v>
      </c>
      <c r="L44" s="189">
        <v>-9.5000000000000001E-2</v>
      </c>
      <c r="M44" s="29">
        <v>464</v>
      </c>
      <c r="N44" s="171" t="s">
        <v>958</v>
      </c>
    </row>
    <row r="45" spans="2:14">
      <c r="B45" s="166" t="s">
        <v>30</v>
      </c>
      <c r="C45" s="163" t="s">
        <v>1034</v>
      </c>
      <c r="D45" s="163" t="s">
        <v>1035</v>
      </c>
      <c r="E45" s="192">
        <v>3</v>
      </c>
      <c r="F45" s="192">
        <v>44</v>
      </c>
      <c r="G45" s="190">
        <v>-9.4E-2</v>
      </c>
      <c r="H45" s="190">
        <v>-0.17599999999999999</v>
      </c>
      <c r="I45" s="190">
        <v>-0.75</v>
      </c>
      <c r="J45" s="190">
        <v>-6.5000000000000002E-2</v>
      </c>
      <c r="K45" s="190">
        <v>-0.113</v>
      </c>
      <c r="L45" s="190">
        <v>-6.2E-2</v>
      </c>
      <c r="M45" s="26">
        <v>498</v>
      </c>
      <c r="N45" s="172" t="s">
        <v>987</v>
      </c>
    </row>
    <row r="46" spans="2:14">
      <c r="B46" s="165" t="s">
        <v>25</v>
      </c>
      <c r="C46" s="162" t="s">
        <v>1036</v>
      </c>
      <c r="D46" s="162" t="s">
        <v>1037</v>
      </c>
      <c r="E46" s="191">
        <v>24</v>
      </c>
      <c r="F46" s="191">
        <v>29</v>
      </c>
      <c r="G46" s="189">
        <v>-0.17499999999999999</v>
      </c>
      <c r="H46" s="189">
        <v>-0.19</v>
      </c>
      <c r="I46" s="189">
        <v>-0.214</v>
      </c>
      <c r="J46" s="189">
        <v>-2.8000000000000001E-2</v>
      </c>
      <c r="K46" s="189">
        <v>-0.107</v>
      </c>
      <c r="L46" s="189">
        <v>-1.7999999999999999E-2</v>
      </c>
      <c r="M46" s="29">
        <v>398</v>
      </c>
      <c r="N46" s="171" t="s">
        <v>958</v>
      </c>
    </row>
    <row r="47" spans="2:14">
      <c r="B47" s="166" t="s">
        <v>20</v>
      </c>
      <c r="C47" s="163" t="s">
        <v>1038</v>
      </c>
      <c r="D47" s="163" t="s">
        <v>1039</v>
      </c>
      <c r="E47" s="192">
        <v>34</v>
      </c>
      <c r="F47" s="192">
        <v>30</v>
      </c>
      <c r="G47" s="190">
        <v>-0.22800000000000001</v>
      </c>
      <c r="H47" s="190">
        <v>-0.26900000000000002</v>
      </c>
      <c r="I47" s="190">
        <v>-0.625</v>
      </c>
      <c r="J47" s="190">
        <v>-0.03</v>
      </c>
      <c r="K47" s="190">
        <v>-0.13300000000000001</v>
      </c>
      <c r="L47" s="190">
        <v>3.5999999999999997E-2</v>
      </c>
      <c r="M47" s="26">
        <v>358</v>
      </c>
      <c r="N47" s="172" t="s">
        <v>959</v>
      </c>
    </row>
    <row r="48" spans="2:14">
      <c r="B48" s="165" t="s">
        <v>34</v>
      </c>
      <c r="C48" s="162" t="s">
        <v>55</v>
      </c>
      <c r="D48" s="162" t="s">
        <v>54</v>
      </c>
      <c r="E48" s="191">
        <v>34</v>
      </c>
      <c r="F48" s="191">
        <v>2</v>
      </c>
      <c r="G48" s="189">
        <v>-0.22800000000000001</v>
      </c>
      <c r="H48" s="189">
        <v>-8.1000000000000003E-2</v>
      </c>
      <c r="I48" s="189">
        <v>-0.8</v>
      </c>
      <c r="J48" s="189">
        <v>0.10299999999999999</v>
      </c>
      <c r="K48" s="189">
        <v>-6.4000000000000001E-2</v>
      </c>
      <c r="L48" s="189">
        <v>-0.125</v>
      </c>
      <c r="M48" s="29">
        <v>302</v>
      </c>
      <c r="N48" s="171" t="s">
        <v>957</v>
      </c>
    </row>
    <row r="49" spans="2:14">
      <c r="B49" s="166" t="s">
        <v>34</v>
      </c>
      <c r="C49" s="163" t="s">
        <v>53</v>
      </c>
      <c r="D49" s="163" t="s">
        <v>52</v>
      </c>
      <c r="E49" s="192">
        <v>29</v>
      </c>
      <c r="F49" s="192">
        <v>16</v>
      </c>
      <c r="G49" s="190">
        <v>-0.20399999999999999</v>
      </c>
      <c r="H49" s="190">
        <v>-0.106</v>
      </c>
      <c r="I49" s="190">
        <v>-0.33300000000000002</v>
      </c>
      <c r="J49" s="190">
        <v>-7.0000000000000001E-3</v>
      </c>
      <c r="K49" s="190">
        <v>-8.4000000000000005E-2</v>
      </c>
      <c r="L49" s="190">
        <v>-0.03</v>
      </c>
      <c r="M49" s="26">
        <v>320</v>
      </c>
      <c r="N49" s="172" t="s">
        <v>958</v>
      </c>
    </row>
    <row r="50" spans="2:14">
      <c r="B50" s="165" t="s">
        <v>30</v>
      </c>
      <c r="C50" s="162" t="s">
        <v>1040</v>
      </c>
      <c r="D50" s="162" t="s">
        <v>1041</v>
      </c>
      <c r="E50" s="191">
        <v>11</v>
      </c>
      <c r="F50" s="191">
        <v>37</v>
      </c>
      <c r="G50" s="189">
        <v>-0.14499999999999999</v>
      </c>
      <c r="H50" s="189">
        <v>-3.4000000000000002E-2</v>
      </c>
      <c r="I50" s="189">
        <v>-0.57099999999999995</v>
      </c>
      <c r="J50" s="189">
        <v>-4.4999999999999998E-2</v>
      </c>
      <c r="K50" s="189">
        <v>-0.124</v>
      </c>
      <c r="L50" s="189">
        <v>-0.159</v>
      </c>
      <c r="M50" s="29">
        <v>356</v>
      </c>
      <c r="N50" s="171" t="s">
        <v>966</v>
      </c>
    </row>
    <row r="51" spans="2:14">
      <c r="B51" s="166" t="s">
        <v>23</v>
      </c>
      <c r="C51" s="163" t="s">
        <v>1042</v>
      </c>
      <c r="D51" s="163" t="s">
        <v>1043</v>
      </c>
      <c r="E51" s="192">
        <v>18</v>
      </c>
      <c r="F51" s="192">
        <v>41</v>
      </c>
      <c r="G51" s="190">
        <v>-0.16400000000000001</v>
      </c>
      <c r="H51" s="190">
        <v>-0.20200000000000001</v>
      </c>
      <c r="I51" s="190">
        <v>-0.61499999999999999</v>
      </c>
      <c r="J51" s="190">
        <v>-0.05</v>
      </c>
      <c r="K51" s="190">
        <v>-0.16400000000000001</v>
      </c>
      <c r="L51" s="190">
        <v>-7.1999999999999995E-2</v>
      </c>
      <c r="M51" s="26">
        <v>374</v>
      </c>
      <c r="N51" s="172" t="s">
        <v>959</v>
      </c>
    </row>
    <row r="52" spans="2:14">
      <c r="B52" s="165" t="s">
        <v>25</v>
      </c>
      <c r="C52" s="162" t="s">
        <v>1044</v>
      </c>
      <c r="D52" s="162" t="s">
        <v>1045</v>
      </c>
      <c r="E52" s="191">
        <v>6</v>
      </c>
      <c r="F52" s="191">
        <v>13</v>
      </c>
      <c r="G52" s="189">
        <v>-0.11</v>
      </c>
      <c r="H52" s="189">
        <v>-9.7000000000000003E-2</v>
      </c>
      <c r="I52" s="189">
        <v>-0.23100000000000001</v>
      </c>
      <c r="J52" s="189">
        <v>-3.0000000000000001E-3</v>
      </c>
      <c r="K52" s="189">
        <v>-0.129</v>
      </c>
      <c r="L52" s="189">
        <v>-5.7000000000000002E-2</v>
      </c>
      <c r="M52" s="29">
        <v>451</v>
      </c>
      <c r="N52" s="171" t="s">
        <v>966</v>
      </c>
    </row>
    <row r="53" spans="2:14">
      <c r="B53" s="166" t="s">
        <v>30</v>
      </c>
      <c r="C53" s="163" t="s">
        <v>1046</v>
      </c>
      <c r="D53" s="163" t="s">
        <v>1047</v>
      </c>
      <c r="E53" s="192">
        <v>11</v>
      </c>
      <c r="F53" s="192">
        <v>23</v>
      </c>
      <c r="G53" s="190">
        <v>-0.14499999999999999</v>
      </c>
      <c r="H53" s="190">
        <v>-0.109</v>
      </c>
      <c r="I53" s="190">
        <v>0.28599999999999998</v>
      </c>
      <c r="J53" s="190">
        <v>-2.1999999999999999E-2</v>
      </c>
      <c r="K53" s="190">
        <v>-0.13</v>
      </c>
      <c r="L53" s="190">
        <v>-0.14099999999999999</v>
      </c>
      <c r="M53" s="26">
        <v>356</v>
      </c>
      <c r="N53" s="172" t="s">
        <v>980</v>
      </c>
    </row>
    <row r="54" spans="2:14">
      <c r="B54" s="165" t="s">
        <v>23</v>
      </c>
      <c r="C54" s="162" t="s">
        <v>1048</v>
      </c>
      <c r="D54" s="162" t="s">
        <v>1049</v>
      </c>
      <c r="E54" s="191">
        <v>30</v>
      </c>
      <c r="F54" s="191">
        <v>42</v>
      </c>
      <c r="G54" s="189">
        <v>-0.20699999999999999</v>
      </c>
      <c r="H54" s="189">
        <v>-0.28399999999999997</v>
      </c>
      <c r="I54" s="189">
        <v>0.66700000000000004</v>
      </c>
      <c r="J54" s="189">
        <v>-5.2999999999999999E-2</v>
      </c>
      <c r="K54" s="189">
        <v>-0.13100000000000001</v>
      </c>
      <c r="L54" s="189">
        <v>-7.4999999999999997E-2</v>
      </c>
      <c r="M54" s="29">
        <v>387</v>
      </c>
      <c r="N54" s="171" t="s">
        <v>960</v>
      </c>
    </row>
    <row r="55" spans="2:14">
      <c r="B55" s="166" t="s">
        <v>20</v>
      </c>
      <c r="C55" s="163" t="s">
        <v>1050</v>
      </c>
      <c r="D55" s="163" t="s">
        <v>1051</v>
      </c>
      <c r="E55" s="192">
        <v>38</v>
      </c>
      <c r="F55" s="192">
        <v>14</v>
      </c>
      <c r="G55" s="190">
        <v>-0.251</v>
      </c>
      <c r="H55" s="190">
        <v>-0.249</v>
      </c>
      <c r="I55" s="190">
        <v>-0.53300000000000003</v>
      </c>
      <c r="J55" s="190">
        <v>-4.0000000000000001E-3</v>
      </c>
      <c r="K55" s="190">
        <v>-0.114</v>
      </c>
      <c r="L55" s="190">
        <v>-6.6000000000000003E-2</v>
      </c>
      <c r="M55" s="26">
        <v>445</v>
      </c>
      <c r="N55" s="172" t="s">
        <v>961</v>
      </c>
    </row>
    <row r="56" spans="2:14">
      <c r="B56" s="165" t="s">
        <v>33</v>
      </c>
      <c r="C56" s="162" t="s">
        <v>1052</v>
      </c>
      <c r="D56" s="162" t="s">
        <v>1053</v>
      </c>
      <c r="E56" s="191">
        <v>25</v>
      </c>
      <c r="F56" s="191">
        <v>16</v>
      </c>
      <c r="G56" s="189">
        <v>-0.18</v>
      </c>
      <c r="H56" s="189">
        <v>-0.23899999999999999</v>
      </c>
      <c r="I56" s="189">
        <v>0.66700000000000004</v>
      </c>
      <c r="J56" s="189">
        <v>-7.0000000000000001E-3</v>
      </c>
      <c r="K56" s="189">
        <v>-7.0999999999999994E-2</v>
      </c>
      <c r="L56" s="189">
        <v>9.0999999999999998E-2</v>
      </c>
      <c r="M56" s="29">
        <v>298</v>
      </c>
      <c r="N56" s="171" t="s">
        <v>960</v>
      </c>
    </row>
    <row r="57" spans="2:14">
      <c r="B57" s="166" t="s">
        <v>33</v>
      </c>
      <c r="C57" s="163" t="s">
        <v>1054</v>
      </c>
      <c r="D57" s="163" t="s">
        <v>1055</v>
      </c>
      <c r="E57" s="192">
        <v>41</v>
      </c>
      <c r="F57" s="192">
        <v>19</v>
      </c>
      <c r="G57" s="190">
        <v>-0.26700000000000002</v>
      </c>
      <c r="H57" s="190">
        <v>-0.11700000000000001</v>
      </c>
      <c r="I57" s="190">
        <v>-0.16700000000000001</v>
      </c>
      <c r="J57" s="190">
        <v>-1.6E-2</v>
      </c>
      <c r="K57" s="190">
        <v>-4.5999999999999999E-2</v>
      </c>
      <c r="L57" s="190">
        <v>-0.23300000000000001</v>
      </c>
      <c r="M57" s="26">
        <v>380</v>
      </c>
      <c r="N57" s="172" t="s">
        <v>987</v>
      </c>
    </row>
    <row r="58" spans="2:14">
      <c r="B58" s="161"/>
      <c r="C58" s="159"/>
      <c r="D58" s="159"/>
      <c r="E58" s="159"/>
      <c r="F58" s="159"/>
      <c r="G58" s="159"/>
      <c r="H58" s="159"/>
      <c r="I58" s="159"/>
      <c r="J58" s="159"/>
      <c r="K58" s="159"/>
      <c r="L58" s="159"/>
      <c r="M58" s="159"/>
      <c r="N58" s="160"/>
    </row>
    <row r="59" spans="2:14">
      <c r="B59" s="260" t="s">
        <v>933</v>
      </c>
      <c r="C59" s="260"/>
      <c r="D59" s="260"/>
      <c r="E59" s="260"/>
      <c r="F59" s="260"/>
      <c r="G59" s="260"/>
      <c r="H59" s="260"/>
      <c r="I59" s="260"/>
      <c r="J59" s="260"/>
      <c r="K59" s="260"/>
      <c r="L59" s="260"/>
      <c r="M59" s="260"/>
      <c r="N59" s="260"/>
    </row>
  </sheetData>
  <autoFilter ref="B9:N9"/>
  <mergeCells count="4">
    <mergeCell ref="G4:J4"/>
    <mergeCell ref="G5:J5"/>
    <mergeCell ref="B59:N59"/>
    <mergeCell ref="B2:N2"/>
  </mergeCells>
  <phoneticPr fontId="3" type="noConversion"/>
  <conditionalFormatting sqref="G10">
    <cfRule type="containsText" dxfId="1579" priority="286" operator="containsText" text="NA">
      <formula>NOT(ISERROR(SEARCH("NA",G10)))</formula>
    </cfRule>
    <cfRule type="cellIs" dxfId="1578" priority="288" operator="greaterThan">
      <formula>0.05</formula>
    </cfRule>
  </conditionalFormatting>
  <conditionalFormatting sqref="G10">
    <cfRule type="cellIs" dxfId="1577" priority="285" operator="between">
      <formula>-0.05</formula>
      <formula>0.05</formula>
    </cfRule>
    <cfRule type="cellIs" dxfId="1576" priority="287" operator="lessThan">
      <formula>-0.05</formula>
    </cfRule>
  </conditionalFormatting>
  <conditionalFormatting sqref="H10:L10">
    <cfRule type="containsText" dxfId="1575" priority="282" operator="containsText" text="NA">
      <formula>NOT(ISERROR(SEARCH("NA",H10)))</formula>
    </cfRule>
    <cfRule type="cellIs" dxfId="1574" priority="284" operator="greaterThan">
      <formula>0.05</formula>
    </cfRule>
  </conditionalFormatting>
  <conditionalFormatting sqref="H10:L10">
    <cfRule type="cellIs" dxfId="1573" priority="281" operator="between">
      <formula>-0.05</formula>
      <formula>0.05</formula>
    </cfRule>
    <cfRule type="cellIs" dxfId="1572" priority="283" operator="lessThan">
      <formula>-0.05</formula>
    </cfRule>
  </conditionalFormatting>
  <conditionalFormatting sqref="G11:L11">
    <cfRule type="containsText" dxfId="1571" priority="278" operator="containsText" text="NA">
      <formula>NOT(ISERROR(SEARCH("NA",G11)))</formula>
    </cfRule>
    <cfRule type="cellIs" dxfId="1570" priority="280" operator="greaterThan">
      <formula>0.05</formula>
    </cfRule>
  </conditionalFormatting>
  <conditionalFormatting sqref="G11:L11">
    <cfRule type="cellIs" dxfId="1569" priority="277" operator="between">
      <formula>-0.05</formula>
      <formula>0.05</formula>
    </cfRule>
    <cfRule type="cellIs" dxfId="1568" priority="279" operator="lessThan">
      <formula>-0.05</formula>
    </cfRule>
  </conditionalFormatting>
  <conditionalFormatting sqref="G12">
    <cfRule type="containsText" dxfId="1567" priority="274" operator="containsText" text="NA">
      <formula>NOT(ISERROR(SEARCH("NA",G12)))</formula>
    </cfRule>
    <cfRule type="cellIs" dxfId="1566" priority="276" operator="greaterThan">
      <formula>0.05</formula>
    </cfRule>
  </conditionalFormatting>
  <conditionalFormatting sqref="G12">
    <cfRule type="cellIs" dxfId="1565" priority="273" operator="between">
      <formula>-0.05</formula>
      <formula>0.05</formula>
    </cfRule>
    <cfRule type="cellIs" dxfId="1564" priority="275" operator="lessThan">
      <formula>-0.05</formula>
    </cfRule>
  </conditionalFormatting>
  <conditionalFormatting sqref="H12:L12">
    <cfRule type="containsText" dxfId="1563" priority="270" operator="containsText" text="NA">
      <formula>NOT(ISERROR(SEARCH("NA",H12)))</formula>
    </cfRule>
    <cfRule type="cellIs" dxfId="1562" priority="272" operator="greaterThan">
      <formula>0.05</formula>
    </cfRule>
  </conditionalFormatting>
  <conditionalFormatting sqref="H12:L12">
    <cfRule type="cellIs" dxfId="1561" priority="269" operator="between">
      <formula>-0.05</formula>
      <formula>0.05</formula>
    </cfRule>
    <cfRule type="cellIs" dxfId="1560" priority="271" operator="lessThan">
      <formula>-0.05</formula>
    </cfRule>
  </conditionalFormatting>
  <conditionalFormatting sqref="G13:L13">
    <cfRule type="containsText" dxfId="1559" priority="266" operator="containsText" text="NA">
      <formula>NOT(ISERROR(SEARCH("NA",G13)))</formula>
    </cfRule>
    <cfRule type="cellIs" dxfId="1558" priority="268" operator="greaterThan">
      <formula>0.05</formula>
    </cfRule>
  </conditionalFormatting>
  <conditionalFormatting sqref="G13:L13">
    <cfRule type="cellIs" dxfId="1557" priority="265" operator="between">
      <formula>-0.05</formula>
      <formula>0.05</formula>
    </cfRule>
    <cfRule type="cellIs" dxfId="1556" priority="267" operator="lessThan">
      <formula>-0.05</formula>
    </cfRule>
  </conditionalFormatting>
  <conditionalFormatting sqref="G14">
    <cfRule type="containsText" dxfId="1555" priority="262" operator="containsText" text="NA">
      <formula>NOT(ISERROR(SEARCH("NA",G14)))</formula>
    </cfRule>
    <cfRule type="cellIs" dxfId="1554" priority="264" operator="greaterThan">
      <formula>0.05</formula>
    </cfRule>
  </conditionalFormatting>
  <conditionalFormatting sqref="G14">
    <cfRule type="cellIs" dxfId="1553" priority="261" operator="between">
      <formula>-0.05</formula>
      <formula>0.05</formula>
    </cfRule>
    <cfRule type="cellIs" dxfId="1552" priority="263" operator="lessThan">
      <formula>-0.05</formula>
    </cfRule>
  </conditionalFormatting>
  <conditionalFormatting sqref="H14:L14">
    <cfRule type="containsText" dxfId="1551" priority="258" operator="containsText" text="NA">
      <formula>NOT(ISERROR(SEARCH("NA",H14)))</formula>
    </cfRule>
    <cfRule type="cellIs" dxfId="1550" priority="260" operator="greaterThan">
      <formula>0.05</formula>
    </cfRule>
  </conditionalFormatting>
  <conditionalFormatting sqref="H14:L14">
    <cfRule type="cellIs" dxfId="1549" priority="257" operator="between">
      <formula>-0.05</formula>
      <formula>0.05</formula>
    </cfRule>
    <cfRule type="cellIs" dxfId="1548" priority="259" operator="lessThan">
      <formula>-0.05</formula>
    </cfRule>
  </conditionalFormatting>
  <conditionalFormatting sqref="G15:L15">
    <cfRule type="containsText" dxfId="1547" priority="254" operator="containsText" text="NA">
      <formula>NOT(ISERROR(SEARCH("NA",G15)))</formula>
    </cfRule>
    <cfRule type="cellIs" dxfId="1546" priority="256" operator="greaterThan">
      <formula>0.05</formula>
    </cfRule>
  </conditionalFormatting>
  <conditionalFormatting sqref="G15:L15">
    <cfRule type="cellIs" dxfId="1545" priority="253" operator="between">
      <formula>-0.05</formula>
      <formula>0.05</formula>
    </cfRule>
    <cfRule type="cellIs" dxfId="1544" priority="255" operator="lessThan">
      <formula>-0.05</formula>
    </cfRule>
  </conditionalFormatting>
  <conditionalFormatting sqref="G16">
    <cfRule type="containsText" dxfId="1543" priority="250" operator="containsText" text="NA">
      <formula>NOT(ISERROR(SEARCH("NA",G16)))</formula>
    </cfRule>
    <cfRule type="cellIs" dxfId="1542" priority="252" operator="greaterThan">
      <formula>0.05</formula>
    </cfRule>
  </conditionalFormatting>
  <conditionalFormatting sqref="G16">
    <cfRule type="cellIs" dxfId="1541" priority="249" operator="between">
      <formula>-0.05</formula>
      <formula>0.05</formula>
    </cfRule>
    <cfRule type="cellIs" dxfId="1540" priority="251" operator="lessThan">
      <formula>-0.05</formula>
    </cfRule>
  </conditionalFormatting>
  <conditionalFormatting sqref="H16:L16">
    <cfRule type="containsText" dxfId="1539" priority="246" operator="containsText" text="NA">
      <formula>NOT(ISERROR(SEARCH("NA",H16)))</formula>
    </cfRule>
    <cfRule type="cellIs" dxfId="1538" priority="248" operator="greaterThan">
      <formula>0.05</formula>
    </cfRule>
  </conditionalFormatting>
  <conditionalFormatting sqref="H16:L16">
    <cfRule type="cellIs" dxfId="1537" priority="245" operator="between">
      <formula>-0.05</formula>
      <formula>0.05</formula>
    </cfRule>
    <cfRule type="cellIs" dxfId="1536" priority="247" operator="lessThan">
      <formula>-0.05</formula>
    </cfRule>
  </conditionalFormatting>
  <conditionalFormatting sqref="G17:L17">
    <cfRule type="containsText" dxfId="1535" priority="242" operator="containsText" text="NA">
      <formula>NOT(ISERROR(SEARCH("NA",G17)))</formula>
    </cfRule>
    <cfRule type="cellIs" dxfId="1534" priority="244" operator="greaterThan">
      <formula>0.05</formula>
    </cfRule>
  </conditionalFormatting>
  <conditionalFormatting sqref="G17:L17">
    <cfRule type="cellIs" dxfId="1533" priority="241" operator="between">
      <formula>-0.05</formula>
      <formula>0.05</formula>
    </cfRule>
    <cfRule type="cellIs" dxfId="1532" priority="243" operator="lessThan">
      <formula>-0.05</formula>
    </cfRule>
  </conditionalFormatting>
  <conditionalFormatting sqref="G18">
    <cfRule type="containsText" dxfId="1531" priority="238" operator="containsText" text="NA">
      <formula>NOT(ISERROR(SEARCH("NA",G18)))</formula>
    </cfRule>
    <cfRule type="cellIs" dxfId="1530" priority="240" operator="greaterThan">
      <formula>0.05</formula>
    </cfRule>
  </conditionalFormatting>
  <conditionalFormatting sqref="G18">
    <cfRule type="cellIs" dxfId="1529" priority="237" operator="between">
      <formula>-0.05</formula>
      <formula>0.05</formula>
    </cfRule>
    <cfRule type="cellIs" dxfId="1528" priority="239" operator="lessThan">
      <formula>-0.05</formula>
    </cfRule>
  </conditionalFormatting>
  <conditionalFormatting sqref="H18:L18">
    <cfRule type="containsText" dxfId="1527" priority="234" operator="containsText" text="NA">
      <formula>NOT(ISERROR(SEARCH("NA",H18)))</formula>
    </cfRule>
    <cfRule type="cellIs" dxfId="1526" priority="236" operator="greaterThan">
      <formula>0.05</formula>
    </cfRule>
  </conditionalFormatting>
  <conditionalFormatting sqref="H18:L18">
    <cfRule type="cellIs" dxfId="1525" priority="233" operator="between">
      <formula>-0.05</formula>
      <formula>0.05</formula>
    </cfRule>
    <cfRule type="cellIs" dxfId="1524" priority="235" operator="lessThan">
      <formula>-0.05</formula>
    </cfRule>
  </conditionalFormatting>
  <conditionalFormatting sqref="G19:L19">
    <cfRule type="containsText" dxfId="1523" priority="230" operator="containsText" text="NA">
      <formula>NOT(ISERROR(SEARCH("NA",G19)))</formula>
    </cfRule>
    <cfRule type="cellIs" dxfId="1522" priority="232" operator="greaterThan">
      <formula>0.05</formula>
    </cfRule>
  </conditionalFormatting>
  <conditionalFormatting sqref="G19:L19">
    <cfRule type="cellIs" dxfId="1521" priority="229" operator="between">
      <formula>-0.05</formula>
      <formula>0.05</formula>
    </cfRule>
    <cfRule type="cellIs" dxfId="1520" priority="231" operator="lessThan">
      <formula>-0.05</formula>
    </cfRule>
  </conditionalFormatting>
  <conditionalFormatting sqref="G20">
    <cfRule type="containsText" dxfId="1519" priority="226" operator="containsText" text="NA">
      <formula>NOT(ISERROR(SEARCH("NA",G20)))</formula>
    </cfRule>
    <cfRule type="cellIs" dxfId="1518" priority="228" operator="greaterThan">
      <formula>0.05</formula>
    </cfRule>
  </conditionalFormatting>
  <conditionalFormatting sqref="G20">
    <cfRule type="cellIs" dxfId="1517" priority="225" operator="between">
      <formula>-0.05</formula>
      <formula>0.05</formula>
    </cfRule>
    <cfRule type="cellIs" dxfId="1516" priority="227" operator="lessThan">
      <formula>-0.05</formula>
    </cfRule>
  </conditionalFormatting>
  <conditionalFormatting sqref="H20:L20">
    <cfRule type="containsText" dxfId="1515" priority="222" operator="containsText" text="NA">
      <formula>NOT(ISERROR(SEARCH("NA",H20)))</formula>
    </cfRule>
    <cfRule type="cellIs" dxfId="1514" priority="224" operator="greaterThan">
      <formula>0.05</formula>
    </cfRule>
  </conditionalFormatting>
  <conditionalFormatting sqref="H20:L20">
    <cfRule type="cellIs" dxfId="1513" priority="221" operator="between">
      <formula>-0.05</formula>
      <formula>0.05</formula>
    </cfRule>
    <cfRule type="cellIs" dxfId="1512" priority="223" operator="lessThan">
      <formula>-0.05</formula>
    </cfRule>
  </conditionalFormatting>
  <conditionalFormatting sqref="G21:L21">
    <cfRule type="containsText" dxfId="1511" priority="218" operator="containsText" text="NA">
      <formula>NOT(ISERROR(SEARCH("NA",G21)))</formula>
    </cfRule>
    <cfRule type="cellIs" dxfId="1510" priority="220" operator="greaterThan">
      <formula>0.05</formula>
    </cfRule>
  </conditionalFormatting>
  <conditionalFormatting sqref="G21:L21">
    <cfRule type="cellIs" dxfId="1509" priority="217" operator="between">
      <formula>-0.05</formula>
      <formula>0.05</formula>
    </cfRule>
    <cfRule type="cellIs" dxfId="1508" priority="219" operator="lessThan">
      <formula>-0.05</formula>
    </cfRule>
  </conditionalFormatting>
  <conditionalFormatting sqref="G22">
    <cfRule type="containsText" dxfId="1507" priority="214" operator="containsText" text="NA">
      <formula>NOT(ISERROR(SEARCH("NA",G22)))</formula>
    </cfRule>
    <cfRule type="cellIs" dxfId="1506" priority="216" operator="greaterThan">
      <formula>0.05</formula>
    </cfRule>
  </conditionalFormatting>
  <conditionalFormatting sqref="G22">
    <cfRule type="cellIs" dxfId="1505" priority="213" operator="between">
      <formula>-0.05</formula>
      <formula>0.05</formula>
    </cfRule>
    <cfRule type="cellIs" dxfId="1504" priority="215" operator="lessThan">
      <formula>-0.05</formula>
    </cfRule>
  </conditionalFormatting>
  <conditionalFormatting sqref="H22:L22">
    <cfRule type="containsText" dxfId="1503" priority="210" operator="containsText" text="NA">
      <formula>NOT(ISERROR(SEARCH("NA",H22)))</formula>
    </cfRule>
    <cfRule type="cellIs" dxfId="1502" priority="212" operator="greaterThan">
      <formula>0.05</formula>
    </cfRule>
  </conditionalFormatting>
  <conditionalFormatting sqref="H22:L22">
    <cfRule type="cellIs" dxfId="1501" priority="209" operator="between">
      <formula>-0.05</formula>
      <formula>0.05</formula>
    </cfRule>
    <cfRule type="cellIs" dxfId="1500" priority="211" operator="lessThan">
      <formula>-0.05</formula>
    </cfRule>
  </conditionalFormatting>
  <conditionalFormatting sqref="G23:L23">
    <cfRule type="containsText" dxfId="1499" priority="206" operator="containsText" text="NA">
      <formula>NOT(ISERROR(SEARCH("NA",G23)))</formula>
    </cfRule>
    <cfRule type="cellIs" dxfId="1498" priority="208" operator="greaterThan">
      <formula>0.05</formula>
    </cfRule>
  </conditionalFormatting>
  <conditionalFormatting sqref="G23:L23">
    <cfRule type="cellIs" dxfId="1497" priority="205" operator="between">
      <formula>-0.05</formula>
      <formula>0.05</formula>
    </cfRule>
    <cfRule type="cellIs" dxfId="1496" priority="207" operator="lessThan">
      <formula>-0.05</formula>
    </cfRule>
  </conditionalFormatting>
  <conditionalFormatting sqref="G24">
    <cfRule type="containsText" dxfId="1495" priority="202" operator="containsText" text="NA">
      <formula>NOT(ISERROR(SEARCH("NA",G24)))</formula>
    </cfRule>
    <cfRule type="cellIs" dxfId="1494" priority="204" operator="greaterThan">
      <formula>0.05</formula>
    </cfRule>
  </conditionalFormatting>
  <conditionalFormatting sqref="G24">
    <cfRule type="cellIs" dxfId="1493" priority="201" operator="between">
      <formula>-0.05</formula>
      <formula>0.05</formula>
    </cfRule>
    <cfRule type="cellIs" dxfId="1492" priority="203" operator="lessThan">
      <formula>-0.05</formula>
    </cfRule>
  </conditionalFormatting>
  <conditionalFormatting sqref="H24:L24">
    <cfRule type="containsText" dxfId="1491" priority="198" operator="containsText" text="NA">
      <formula>NOT(ISERROR(SEARCH("NA",H24)))</formula>
    </cfRule>
    <cfRule type="cellIs" dxfId="1490" priority="200" operator="greaterThan">
      <formula>0.05</formula>
    </cfRule>
  </conditionalFormatting>
  <conditionalFormatting sqref="H24:L24">
    <cfRule type="cellIs" dxfId="1489" priority="197" operator="between">
      <formula>-0.05</formula>
      <formula>0.05</formula>
    </cfRule>
    <cfRule type="cellIs" dxfId="1488" priority="199" operator="lessThan">
      <formula>-0.05</formula>
    </cfRule>
  </conditionalFormatting>
  <conditionalFormatting sqref="G25:L25">
    <cfRule type="containsText" dxfId="1487" priority="194" operator="containsText" text="NA">
      <formula>NOT(ISERROR(SEARCH("NA",G25)))</formula>
    </cfRule>
    <cfRule type="cellIs" dxfId="1486" priority="196" operator="greaterThan">
      <formula>0.05</formula>
    </cfRule>
  </conditionalFormatting>
  <conditionalFormatting sqref="G25:L25">
    <cfRule type="cellIs" dxfId="1485" priority="193" operator="between">
      <formula>-0.05</formula>
      <formula>0.05</formula>
    </cfRule>
    <cfRule type="cellIs" dxfId="1484" priority="195" operator="lessThan">
      <formula>-0.05</formula>
    </cfRule>
  </conditionalFormatting>
  <conditionalFormatting sqref="G26">
    <cfRule type="containsText" dxfId="1483" priority="190" operator="containsText" text="NA">
      <formula>NOT(ISERROR(SEARCH("NA",G26)))</formula>
    </cfRule>
    <cfRule type="cellIs" dxfId="1482" priority="192" operator="greaterThan">
      <formula>0.05</formula>
    </cfRule>
  </conditionalFormatting>
  <conditionalFormatting sqref="G26">
    <cfRule type="cellIs" dxfId="1481" priority="189" operator="between">
      <formula>-0.05</formula>
      <formula>0.05</formula>
    </cfRule>
    <cfRule type="cellIs" dxfId="1480" priority="191" operator="lessThan">
      <formula>-0.05</formula>
    </cfRule>
  </conditionalFormatting>
  <conditionalFormatting sqref="H26:L26">
    <cfRule type="containsText" dxfId="1479" priority="186" operator="containsText" text="NA">
      <formula>NOT(ISERROR(SEARCH("NA",H26)))</formula>
    </cfRule>
    <cfRule type="cellIs" dxfId="1478" priority="188" operator="greaterThan">
      <formula>0.05</formula>
    </cfRule>
  </conditionalFormatting>
  <conditionalFormatting sqref="H26:L26">
    <cfRule type="cellIs" dxfId="1477" priority="185" operator="between">
      <formula>-0.05</formula>
      <formula>0.05</formula>
    </cfRule>
    <cfRule type="cellIs" dxfId="1476" priority="187" operator="lessThan">
      <formula>-0.05</formula>
    </cfRule>
  </conditionalFormatting>
  <conditionalFormatting sqref="G27:L27">
    <cfRule type="containsText" dxfId="1475" priority="182" operator="containsText" text="NA">
      <formula>NOT(ISERROR(SEARCH("NA",G27)))</formula>
    </cfRule>
    <cfRule type="cellIs" dxfId="1474" priority="184" operator="greaterThan">
      <formula>0.05</formula>
    </cfRule>
  </conditionalFormatting>
  <conditionalFormatting sqref="G27:L27">
    <cfRule type="cellIs" dxfId="1473" priority="181" operator="between">
      <formula>-0.05</formula>
      <formula>0.05</formula>
    </cfRule>
    <cfRule type="cellIs" dxfId="1472" priority="183" operator="lessThan">
      <formula>-0.05</formula>
    </cfRule>
  </conditionalFormatting>
  <conditionalFormatting sqref="G28">
    <cfRule type="containsText" dxfId="1471" priority="178" operator="containsText" text="NA">
      <formula>NOT(ISERROR(SEARCH("NA",G28)))</formula>
    </cfRule>
    <cfRule type="cellIs" dxfId="1470" priority="180" operator="greaterThan">
      <formula>0.05</formula>
    </cfRule>
  </conditionalFormatting>
  <conditionalFormatting sqref="G28">
    <cfRule type="cellIs" dxfId="1469" priority="177" operator="between">
      <formula>-0.05</formula>
      <formula>0.05</formula>
    </cfRule>
    <cfRule type="cellIs" dxfId="1468" priority="179" operator="lessThan">
      <formula>-0.05</formula>
    </cfRule>
  </conditionalFormatting>
  <conditionalFormatting sqref="H28:L28">
    <cfRule type="containsText" dxfId="1467" priority="174" operator="containsText" text="NA">
      <formula>NOT(ISERROR(SEARCH("NA",H28)))</formula>
    </cfRule>
    <cfRule type="cellIs" dxfId="1466" priority="176" operator="greaterThan">
      <formula>0.05</formula>
    </cfRule>
  </conditionalFormatting>
  <conditionalFormatting sqref="H28:L28">
    <cfRule type="cellIs" dxfId="1465" priority="173" operator="between">
      <formula>-0.05</formula>
      <formula>0.05</formula>
    </cfRule>
    <cfRule type="cellIs" dxfId="1464" priority="175" operator="lessThan">
      <formula>-0.05</formula>
    </cfRule>
  </conditionalFormatting>
  <conditionalFormatting sqref="G29:L29">
    <cfRule type="containsText" dxfId="1463" priority="170" operator="containsText" text="NA">
      <formula>NOT(ISERROR(SEARCH("NA",G29)))</formula>
    </cfRule>
    <cfRule type="cellIs" dxfId="1462" priority="172" operator="greaterThan">
      <formula>0.05</formula>
    </cfRule>
  </conditionalFormatting>
  <conditionalFormatting sqref="G29:L29">
    <cfRule type="cellIs" dxfId="1461" priority="169" operator="between">
      <formula>-0.05</formula>
      <formula>0.05</formula>
    </cfRule>
    <cfRule type="cellIs" dxfId="1460" priority="171" operator="lessThan">
      <formula>-0.05</formula>
    </cfRule>
  </conditionalFormatting>
  <conditionalFormatting sqref="G30">
    <cfRule type="containsText" dxfId="1459" priority="166" operator="containsText" text="NA">
      <formula>NOT(ISERROR(SEARCH("NA",G30)))</formula>
    </cfRule>
    <cfRule type="cellIs" dxfId="1458" priority="168" operator="greaterThan">
      <formula>0.05</formula>
    </cfRule>
  </conditionalFormatting>
  <conditionalFormatting sqref="G30">
    <cfRule type="cellIs" dxfId="1457" priority="165" operator="between">
      <formula>-0.05</formula>
      <formula>0.05</formula>
    </cfRule>
    <cfRule type="cellIs" dxfId="1456" priority="167" operator="lessThan">
      <formula>-0.05</formula>
    </cfRule>
  </conditionalFormatting>
  <conditionalFormatting sqref="H30:L30">
    <cfRule type="containsText" dxfId="1455" priority="162" operator="containsText" text="NA">
      <formula>NOT(ISERROR(SEARCH("NA",H30)))</formula>
    </cfRule>
    <cfRule type="cellIs" dxfId="1454" priority="164" operator="greaterThan">
      <formula>0.05</formula>
    </cfRule>
  </conditionalFormatting>
  <conditionalFormatting sqref="H30:L30">
    <cfRule type="cellIs" dxfId="1453" priority="161" operator="between">
      <formula>-0.05</formula>
      <formula>0.05</formula>
    </cfRule>
    <cfRule type="cellIs" dxfId="1452" priority="163" operator="lessThan">
      <formula>-0.05</formula>
    </cfRule>
  </conditionalFormatting>
  <conditionalFormatting sqref="G31:L31">
    <cfRule type="containsText" dxfId="1451" priority="158" operator="containsText" text="NA">
      <formula>NOT(ISERROR(SEARCH("NA",G31)))</formula>
    </cfRule>
    <cfRule type="cellIs" dxfId="1450" priority="160" operator="greaterThan">
      <formula>0.05</formula>
    </cfRule>
  </conditionalFormatting>
  <conditionalFormatting sqref="G31:L31">
    <cfRule type="cellIs" dxfId="1449" priority="157" operator="between">
      <formula>-0.05</formula>
      <formula>0.05</formula>
    </cfRule>
    <cfRule type="cellIs" dxfId="1448" priority="159" operator="lessThan">
      <formula>-0.05</formula>
    </cfRule>
  </conditionalFormatting>
  <conditionalFormatting sqref="G32">
    <cfRule type="containsText" dxfId="1447" priority="154" operator="containsText" text="NA">
      <formula>NOT(ISERROR(SEARCH("NA",G32)))</formula>
    </cfRule>
    <cfRule type="cellIs" dxfId="1446" priority="156" operator="greaterThan">
      <formula>0.05</formula>
    </cfRule>
  </conditionalFormatting>
  <conditionalFormatting sqref="G32">
    <cfRule type="cellIs" dxfId="1445" priority="153" operator="between">
      <formula>-0.05</formula>
      <formula>0.05</formula>
    </cfRule>
    <cfRule type="cellIs" dxfId="1444" priority="155" operator="lessThan">
      <formula>-0.05</formula>
    </cfRule>
  </conditionalFormatting>
  <conditionalFormatting sqref="H32:L32">
    <cfRule type="containsText" dxfId="1443" priority="150" operator="containsText" text="NA">
      <formula>NOT(ISERROR(SEARCH("NA",H32)))</formula>
    </cfRule>
    <cfRule type="cellIs" dxfId="1442" priority="152" operator="greaterThan">
      <formula>0.05</formula>
    </cfRule>
  </conditionalFormatting>
  <conditionalFormatting sqref="H32:L32">
    <cfRule type="cellIs" dxfId="1441" priority="149" operator="between">
      <formula>-0.05</formula>
      <formula>0.05</formula>
    </cfRule>
    <cfRule type="cellIs" dxfId="1440" priority="151" operator="lessThan">
      <formula>-0.05</formula>
    </cfRule>
  </conditionalFormatting>
  <conditionalFormatting sqref="G33:L33">
    <cfRule type="containsText" dxfId="1439" priority="146" operator="containsText" text="NA">
      <formula>NOT(ISERROR(SEARCH("NA",G33)))</formula>
    </cfRule>
    <cfRule type="cellIs" dxfId="1438" priority="148" operator="greaterThan">
      <formula>0.05</formula>
    </cfRule>
  </conditionalFormatting>
  <conditionalFormatting sqref="G33:L33">
    <cfRule type="cellIs" dxfId="1437" priority="145" operator="between">
      <formula>-0.05</formula>
      <formula>0.05</formula>
    </cfRule>
    <cfRule type="cellIs" dxfId="1436" priority="147" operator="lessThan">
      <formula>-0.05</formula>
    </cfRule>
  </conditionalFormatting>
  <conditionalFormatting sqref="G34">
    <cfRule type="containsText" dxfId="1435" priority="142" operator="containsText" text="NA">
      <formula>NOT(ISERROR(SEARCH("NA",G34)))</formula>
    </cfRule>
    <cfRule type="cellIs" dxfId="1434" priority="144" operator="greaterThan">
      <formula>0.05</formula>
    </cfRule>
  </conditionalFormatting>
  <conditionalFormatting sqref="G34">
    <cfRule type="cellIs" dxfId="1433" priority="141" operator="between">
      <formula>-0.05</formula>
      <formula>0.05</formula>
    </cfRule>
    <cfRule type="cellIs" dxfId="1432" priority="143" operator="lessThan">
      <formula>-0.05</formula>
    </cfRule>
  </conditionalFormatting>
  <conditionalFormatting sqref="H34:L34">
    <cfRule type="containsText" dxfId="1431" priority="138" operator="containsText" text="NA">
      <formula>NOT(ISERROR(SEARCH("NA",H34)))</formula>
    </cfRule>
    <cfRule type="cellIs" dxfId="1430" priority="140" operator="greaterThan">
      <formula>0.05</formula>
    </cfRule>
  </conditionalFormatting>
  <conditionalFormatting sqref="H34:L34">
    <cfRule type="cellIs" dxfId="1429" priority="137" operator="between">
      <formula>-0.05</formula>
      <formula>0.05</formula>
    </cfRule>
    <cfRule type="cellIs" dxfId="1428" priority="139" operator="lessThan">
      <formula>-0.05</formula>
    </cfRule>
  </conditionalFormatting>
  <conditionalFormatting sqref="G35:L35">
    <cfRule type="containsText" dxfId="1427" priority="134" operator="containsText" text="NA">
      <formula>NOT(ISERROR(SEARCH("NA",G35)))</formula>
    </cfRule>
    <cfRule type="cellIs" dxfId="1426" priority="136" operator="greaterThan">
      <formula>0.05</formula>
    </cfRule>
  </conditionalFormatting>
  <conditionalFormatting sqref="G35:L35">
    <cfRule type="cellIs" dxfId="1425" priority="133" operator="between">
      <formula>-0.05</formula>
      <formula>0.05</formula>
    </cfRule>
    <cfRule type="cellIs" dxfId="1424" priority="135" operator="lessThan">
      <formula>-0.05</formula>
    </cfRule>
  </conditionalFormatting>
  <conditionalFormatting sqref="G36">
    <cfRule type="containsText" dxfId="1423" priority="130" operator="containsText" text="NA">
      <formula>NOT(ISERROR(SEARCH("NA",G36)))</formula>
    </cfRule>
    <cfRule type="cellIs" dxfId="1422" priority="132" operator="greaterThan">
      <formula>0.05</formula>
    </cfRule>
  </conditionalFormatting>
  <conditionalFormatting sqref="G36">
    <cfRule type="cellIs" dxfId="1421" priority="129" operator="between">
      <formula>-0.05</formula>
      <formula>0.05</formula>
    </cfRule>
    <cfRule type="cellIs" dxfId="1420" priority="131" operator="lessThan">
      <formula>-0.05</formula>
    </cfRule>
  </conditionalFormatting>
  <conditionalFormatting sqref="H36:L36">
    <cfRule type="containsText" dxfId="1419" priority="126" operator="containsText" text="NA">
      <formula>NOT(ISERROR(SEARCH("NA",H36)))</formula>
    </cfRule>
    <cfRule type="cellIs" dxfId="1418" priority="128" operator="greaterThan">
      <formula>0.05</formula>
    </cfRule>
  </conditionalFormatting>
  <conditionalFormatting sqref="H36:L36">
    <cfRule type="cellIs" dxfId="1417" priority="125" operator="between">
      <formula>-0.05</formula>
      <formula>0.05</formula>
    </cfRule>
    <cfRule type="cellIs" dxfId="1416" priority="127" operator="lessThan">
      <formula>-0.05</formula>
    </cfRule>
  </conditionalFormatting>
  <conditionalFormatting sqref="G37:L37">
    <cfRule type="containsText" dxfId="1415" priority="122" operator="containsText" text="NA">
      <formula>NOT(ISERROR(SEARCH("NA",G37)))</formula>
    </cfRule>
    <cfRule type="cellIs" dxfId="1414" priority="124" operator="greaterThan">
      <formula>0.05</formula>
    </cfRule>
  </conditionalFormatting>
  <conditionalFormatting sqref="G37:L37">
    <cfRule type="cellIs" dxfId="1413" priority="121" operator="between">
      <formula>-0.05</formula>
      <formula>0.05</formula>
    </cfRule>
    <cfRule type="cellIs" dxfId="1412" priority="123" operator="lessThan">
      <formula>-0.05</formula>
    </cfRule>
  </conditionalFormatting>
  <conditionalFormatting sqref="G38">
    <cfRule type="containsText" dxfId="1411" priority="118" operator="containsText" text="NA">
      <formula>NOT(ISERROR(SEARCH("NA",G38)))</formula>
    </cfRule>
    <cfRule type="cellIs" dxfId="1410" priority="120" operator="greaterThan">
      <formula>0.05</formula>
    </cfRule>
  </conditionalFormatting>
  <conditionalFormatting sqref="G38">
    <cfRule type="cellIs" dxfId="1409" priority="117" operator="between">
      <formula>-0.05</formula>
      <formula>0.05</formula>
    </cfRule>
    <cfRule type="cellIs" dxfId="1408" priority="119" operator="lessThan">
      <formula>-0.05</formula>
    </cfRule>
  </conditionalFormatting>
  <conditionalFormatting sqref="H38:L38">
    <cfRule type="containsText" dxfId="1407" priority="114" operator="containsText" text="NA">
      <formula>NOT(ISERROR(SEARCH("NA",H38)))</formula>
    </cfRule>
    <cfRule type="cellIs" dxfId="1406" priority="116" operator="greaterThan">
      <formula>0.05</formula>
    </cfRule>
  </conditionalFormatting>
  <conditionalFormatting sqref="H38:L38">
    <cfRule type="cellIs" dxfId="1405" priority="113" operator="between">
      <formula>-0.05</formula>
      <formula>0.05</formula>
    </cfRule>
    <cfRule type="cellIs" dxfId="1404" priority="115" operator="lessThan">
      <formula>-0.05</formula>
    </cfRule>
  </conditionalFormatting>
  <conditionalFormatting sqref="G39:L39">
    <cfRule type="containsText" dxfId="1403" priority="110" operator="containsText" text="NA">
      <formula>NOT(ISERROR(SEARCH("NA",G39)))</formula>
    </cfRule>
    <cfRule type="cellIs" dxfId="1402" priority="112" operator="greaterThan">
      <formula>0.05</formula>
    </cfRule>
  </conditionalFormatting>
  <conditionalFormatting sqref="G39:L39">
    <cfRule type="cellIs" dxfId="1401" priority="109" operator="between">
      <formula>-0.05</formula>
      <formula>0.05</formula>
    </cfRule>
    <cfRule type="cellIs" dxfId="1400" priority="111" operator="lessThan">
      <formula>-0.05</formula>
    </cfRule>
  </conditionalFormatting>
  <conditionalFormatting sqref="G40">
    <cfRule type="containsText" dxfId="1399" priority="106" operator="containsText" text="NA">
      <formula>NOT(ISERROR(SEARCH("NA",G40)))</formula>
    </cfRule>
    <cfRule type="cellIs" dxfId="1398" priority="108" operator="greaterThan">
      <formula>0.05</formula>
    </cfRule>
  </conditionalFormatting>
  <conditionalFormatting sqref="G40">
    <cfRule type="cellIs" dxfId="1397" priority="105" operator="between">
      <formula>-0.05</formula>
      <formula>0.05</formula>
    </cfRule>
    <cfRule type="cellIs" dxfId="1396" priority="107" operator="lessThan">
      <formula>-0.05</formula>
    </cfRule>
  </conditionalFormatting>
  <conditionalFormatting sqref="H40:L40">
    <cfRule type="containsText" dxfId="1395" priority="102" operator="containsText" text="NA">
      <formula>NOT(ISERROR(SEARCH("NA",H40)))</formula>
    </cfRule>
    <cfRule type="cellIs" dxfId="1394" priority="104" operator="greaterThan">
      <formula>0.05</formula>
    </cfRule>
  </conditionalFormatting>
  <conditionalFormatting sqref="H40:L40">
    <cfRule type="cellIs" dxfId="1393" priority="101" operator="between">
      <formula>-0.05</formula>
      <formula>0.05</formula>
    </cfRule>
    <cfRule type="cellIs" dxfId="1392" priority="103" operator="lessThan">
      <formula>-0.05</formula>
    </cfRule>
  </conditionalFormatting>
  <conditionalFormatting sqref="G41:L41">
    <cfRule type="containsText" dxfId="1391" priority="98" operator="containsText" text="NA">
      <formula>NOT(ISERROR(SEARCH("NA",G41)))</formula>
    </cfRule>
    <cfRule type="cellIs" dxfId="1390" priority="100" operator="greaterThan">
      <formula>0.05</formula>
    </cfRule>
  </conditionalFormatting>
  <conditionalFormatting sqref="G41:L41">
    <cfRule type="cellIs" dxfId="1389" priority="97" operator="between">
      <formula>-0.05</formula>
      <formula>0.05</formula>
    </cfRule>
    <cfRule type="cellIs" dxfId="1388" priority="99" operator="lessThan">
      <formula>-0.05</formula>
    </cfRule>
  </conditionalFormatting>
  <conditionalFormatting sqref="G42">
    <cfRule type="containsText" dxfId="1387" priority="94" operator="containsText" text="NA">
      <formula>NOT(ISERROR(SEARCH("NA",G42)))</formula>
    </cfRule>
    <cfRule type="cellIs" dxfId="1386" priority="96" operator="greaterThan">
      <formula>0.05</formula>
    </cfRule>
  </conditionalFormatting>
  <conditionalFormatting sqref="G42">
    <cfRule type="cellIs" dxfId="1385" priority="93" operator="between">
      <formula>-0.05</formula>
      <formula>0.05</formula>
    </cfRule>
    <cfRule type="cellIs" dxfId="1384" priority="95" operator="lessThan">
      <formula>-0.05</formula>
    </cfRule>
  </conditionalFormatting>
  <conditionalFormatting sqref="H42:L42">
    <cfRule type="containsText" dxfId="1383" priority="90" operator="containsText" text="NA">
      <formula>NOT(ISERROR(SEARCH("NA",H42)))</formula>
    </cfRule>
    <cfRule type="cellIs" dxfId="1382" priority="92" operator="greaterThan">
      <formula>0.05</formula>
    </cfRule>
  </conditionalFormatting>
  <conditionalFormatting sqref="H42:L42">
    <cfRule type="cellIs" dxfId="1381" priority="89" operator="between">
      <formula>-0.05</formula>
      <formula>0.05</formula>
    </cfRule>
    <cfRule type="cellIs" dxfId="1380" priority="91" operator="lessThan">
      <formula>-0.05</formula>
    </cfRule>
  </conditionalFormatting>
  <conditionalFormatting sqref="G43:L43">
    <cfRule type="containsText" dxfId="1379" priority="86" operator="containsText" text="NA">
      <formula>NOT(ISERROR(SEARCH("NA",G43)))</formula>
    </cfRule>
    <cfRule type="cellIs" dxfId="1378" priority="88" operator="greaterThan">
      <formula>0.05</formula>
    </cfRule>
  </conditionalFormatting>
  <conditionalFormatting sqref="G43:L43">
    <cfRule type="cellIs" dxfId="1377" priority="85" operator="between">
      <formula>-0.05</formula>
      <formula>0.05</formula>
    </cfRule>
    <cfRule type="cellIs" dxfId="1376" priority="87" operator="lessThan">
      <formula>-0.05</formula>
    </cfRule>
  </conditionalFormatting>
  <conditionalFormatting sqref="G44">
    <cfRule type="containsText" dxfId="1375" priority="82" operator="containsText" text="NA">
      <formula>NOT(ISERROR(SEARCH("NA",G44)))</formula>
    </cfRule>
    <cfRule type="cellIs" dxfId="1374" priority="84" operator="greaterThan">
      <formula>0.05</formula>
    </cfRule>
  </conditionalFormatting>
  <conditionalFormatting sqref="G44">
    <cfRule type="cellIs" dxfId="1373" priority="81" operator="between">
      <formula>-0.05</formula>
      <formula>0.05</formula>
    </cfRule>
    <cfRule type="cellIs" dxfId="1372" priority="83" operator="lessThan">
      <formula>-0.05</formula>
    </cfRule>
  </conditionalFormatting>
  <conditionalFormatting sqref="H44:L44">
    <cfRule type="containsText" dxfId="1371" priority="78" operator="containsText" text="NA">
      <formula>NOT(ISERROR(SEARCH("NA",H44)))</formula>
    </cfRule>
    <cfRule type="cellIs" dxfId="1370" priority="80" operator="greaterThan">
      <formula>0.05</formula>
    </cfRule>
  </conditionalFormatting>
  <conditionalFormatting sqref="H44:L44">
    <cfRule type="cellIs" dxfId="1369" priority="77" operator="between">
      <formula>-0.05</formula>
      <formula>0.05</formula>
    </cfRule>
    <cfRule type="cellIs" dxfId="1368" priority="79" operator="lessThan">
      <formula>-0.05</formula>
    </cfRule>
  </conditionalFormatting>
  <conditionalFormatting sqref="G45:L45">
    <cfRule type="containsText" dxfId="1367" priority="74" operator="containsText" text="NA">
      <formula>NOT(ISERROR(SEARCH("NA",G45)))</formula>
    </cfRule>
    <cfRule type="cellIs" dxfId="1366" priority="76" operator="greaterThan">
      <formula>0.05</formula>
    </cfRule>
  </conditionalFormatting>
  <conditionalFormatting sqref="G45:L45">
    <cfRule type="cellIs" dxfId="1365" priority="73" operator="between">
      <formula>-0.05</formula>
      <formula>0.05</formula>
    </cfRule>
    <cfRule type="cellIs" dxfId="1364" priority="75" operator="lessThan">
      <formula>-0.05</formula>
    </cfRule>
  </conditionalFormatting>
  <conditionalFormatting sqref="G46">
    <cfRule type="containsText" dxfId="1363" priority="70" operator="containsText" text="NA">
      <formula>NOT(ISERROR(SEARCH("NA",G46)))</formula>
    </cfRule>
    <cfRule type="cellIs" dxfId="1362" priority="72" operator="greaterThan">
      <formula>0.05</formula>
    </cfRule>
  </conditionalFormatting>
  <conditionalFormatting sqref="G46">
    <cfRule type="cellIs" dxfId="1361" priority="69" operator="between">
      <formula>-0.05</formula>
      <formula>0.05</formula>
    </cfRule>
    <cfRule type="cellIs" dxfId="1360" priority="71" operator="lessThan">
      <formula>-0.05</formula>
    </cfRule>
  </conditionalFormatting>
  <conditionalFormatting sqref="H46:L46">
    <cfRule type="containsText" dxfId="1359" priority="66" operator="containsText" text="NA">
      <formula>NOT(ISERROR(SEARCH("NA",H46)))</formula>
    </cfRule>
    <cfRule type="cellIs" dxfId="1358" priority="68" operator="greaterThan">
      <formula>0.05</formula>
    </cfRule>
  </conditionalFormatting>
  <conditionalFormatting sqref="H46:L46">
    <cfRule type="cellIs" dxfId="1357" priority="65" operator="between">
      <formula>-0.05</formula>
      <formula>0.05</formula>
    </cfRule>
    <cfRule type="cellIs" dxfId="1356" priority="67" operator="lessThan">
      <formula>-0.05</formula>
    </cfRule>
  </conditionalFormatting>
  <conditionalFormatting sqref="G47:L47">
    <cfRule type="containsText" dxfId="1355" priority="62" operator="containsText" text="NA">
      <formula>NOT(ISERROR(SEARCH("NA",G47)))</formula>
    </cfRule>
    <cfRule type="cellIs" dxfId="1354" priority="64" operator="greaterThan">
      <formula>0.05</formula>
    </cfRule>
  </conditionalFormatting>
  <conditionalFormatting sqref="G47:L47">
    <cfRule type="cellIs" dxfId="1353" priority="61" operator="between">
      <formula>-0.05</formula>
      <formula>0.05</formula>
    </cfRule>
    <cfRule type="cellIs" dxfId="1352" priority="63" operator="lessThan">
      <formula>-0.05</formula>
    </cfRule>
  </conditionalFormatting>
  <conditionalFormatting sqref="G48">
    <cfRule type="containsText" dxfId="1351" priority="58" operator="containsText" text="NA">
      <formula>NOT(ISERROR(SEARCH("NA",G48)))</formula>
    </cfRule>
    <cfRule type="cellIs" dxfId="1350" priority="60" operator="greaterThan">
      <formula>0.05</formula>
    </cfRule>
  </conditionalFormatting>
  <conditionalFormatting sqref="G48">
    <cfRule type="cellIs" dxfId="1349" priority="57" operator="between">
      <formula>-0.05</formula>
      <formula>0.05</formula>
    </cfRule>
    <cfRule type="cellIs" dxfId="1348" priority="59" operator="lessThan">
      <formula>-0.05</formula>
    </cfRule>
  </conditionalFormatting>
  <conditionalFormatting sqref="H48:L48">
    <cfRule type="containsText" dxfId="1347" priority="54" operator="containsText" text="NA">
      <formula>NOT(ISERROR(SEARCH("NA",H48)))</formula>
    </cfRule>
    <cfRule type="cellIs" dxfId="1346" priority="56" operator="greaterThan">
      <formula>0.05</formula>
    </cfRule>
  </conditionalFormatting>
  <conditionalFormatting sqref="H48:L48">
    <cfRule type="cellIs" dxfId="1345" priority="53" operator="between">
      <formula>-0.05</formula>
      <formula>0.05</formula>
    </cfRule>
    <cfRule type="cellIs" dxfId="1344" priority="55" operator="lessThan">
      <formula>-0.05</formula>
    </cfRule>
  </conditionalFormatting>
  <conditionalFormatting sqref="G49:L49">
    <cfRule type="containsText" dxfId="1343" priority="50" operator="containsText" text="NA">
      <formula>NOT(ISERROR(SEARCH("NA",G49)))</formula>
    </cfRule>
    <cfRule type="cellIs" dxfId="1342" priority="52" operator="greaterThan">
      <formula>0.05</formula>
    </cfRule>
  </conditionalFormatting>
  <conditionalFormatting sqref="G49:L49">
    <cfRule type="cellIs" dxfId="1341" priority="49" operator="between">
      <formula>-0.05</formula>
      <formula>0.05</formula>
    </cfRule>
    <cfRule type="cellIs" dxfId="1340" priority="51" operator="lessThan">
      <formula>-0.05</formula>
    </cfRule>
  </conditionalFormatting>
  <conditionalFormatting sqref="G50">
    <cfRule type="containsText" dxfId="1339" priority="46" operator="containsText" text="NA">
      <formula>NOT(ISERROR(SEARCH("NA",G50)))</formula>
    </cfRule>
    <cfRule type="cellIs" dxfId="1338" priority="48" operator="greaterThan">
      <formula>0.05</formula>
    </cfRule>
  </conditionalFormatting>
  <conditionalFormatting sqref="G50">
    <cfRule type="cellIs" dxfId="1337" priority="45" operator="between">
      <formula>-0.05</formula>
      <formula>0.05</formula>
    </cfRule>
    <cfRule type="cellIs" dxfId="1336" priority="47" operator="lessThan">
      <formula>-0.05</formula>
    </cfRule>
  </conditionalFormatting>
  <conditionalFormatting sqref="H50:L50">
    <cfRule type="containsText" dxfId="1335" priority="42" operator="containsText" text="NA">
      <formula>NOT(ISERROR(SEARCH("NA",H50)))</formula>
    </cfRule>
    <cfRule type="cellIs" dxfId="1334" priority="44" operator="greaterThan">
      <formula>0.05</formula>
    </cfRule>
  </conditionalFormatting>
  <conditionalFormatting sqref="H50:L50">
    <cfRule type="cellIs" dxfId="1333" priority="41" operator="between">
      <formula>-0.05</formula>
      <formula>0.05</formula>
    </cfRule>
    <cfRule type="cellIs" dxfId="1332" priority="43" operator="lessThan">
      <formula>-0.05</formula>
    </cfRule>
  </conditionalFormatting>
  <conditionalFormatting sqref="G51:L51">
    <cfRule type="containsText" dxfId="1331" priority="38" operator="containsText" text="NA">
      <formula>NOT(ISERROR(SEARCH("NA",G51)))</formula>
    </cfRule>
    <cfRule type="cellIs" dxfId="1330" priority="40" operator="greaterThan">
      <formula>0.05</formula>
    </cfRule>
  </conditionalFormatting>
  <conditionalFormatting sqref="G51:L51">
    <cfRule type="cellIs" dxfId="1329" priority="37" operator="between">
      <formula>-0.05</formula>
      <formula>0.05</formula>
    </cfRule>
    <cfRule type="cellIs" dxfId="1328" priority="39" operator="lessThan">
      <formula>-0.05</formula>
    </cfRule>
  </conditionalFormatting>
  <conditionalFormatting sqref="G52">
    <cfRule type="containsText" dxfId="1327" priority="34" operator="containsText" text="NA">
      <formula>NOT(ISERROR(SEARCH("NA",G52)))</formula>
    </cfRule>
    <cfRule type="cellIs" dxfId="1326" priority="36" operator="greaterThan">
      <formula>0.05</formula>
    </cfRule>
  </conditionalFormatting>
  <conditionalFormatting sqref="G52">
    <cfRule type="cellIs" dxfId="1325" priority="33" operator="between">
      <formula>-0.05</formula>
      <formula>0.05</formula>
    </cfRule>
    <cfRule type="cellIs" dxfId="1324" priority="35" operator="lessThan">
      <formula>-0.05</formula>
    </cfRule>
  </conditionalFormatting>
  <conditionalFormatting sqref="H52:L52">
    <cfRule type="containsText" dxfId="1323" priority="30" operator="containsText" text="NA">
      <formula>NOT(ISERROR(SEARCH("NA",H52)))</formula>
    </cfRule>
    <cfRule type="cellIs" dxfId="1322" priority="32" operator="greaterThan">
      <formula>0.05</formula>
    </cfRule>
  </conditionalFormatting>
  <conditionalFormatting sqref="H52:L52">
    <cfRule type="cellIs" dxfId="1321" priority="29" operator="between">
      <formula>-0.05</formula>
      <formula>0.05</formula>
    </cfRule>
    <cfRule type="cellIs" dxfId="1320" priority="31" operator="lessThan">
      <formula>-0.05</formula>
    </cfRule>
  </conditionalFormatting>
  <conditionalFormatting sqref="G53:L53">
    <cfRule type="containsText" dxfId="1319" priority="26" operator="containsText" text="NA">
      <formula>NOT(ISERROR(SEARCH("NA",G53)))</formula>
    </cfRule>
    <cfRule type="cellIs" dxfId="1318" priority="28" operator="greaterThan">
      <formula>0.05</formula>
    </cfRule>
  </conditionalFormatting>
  <conditionalFormatting sqref="G53:L53">
    <cfRule type="cellIs" dxfId="1317" priority="25" operator="between">
      <formula>-0.05</formula>
      <formula>0.05</formula>
    </cfRule>
    <cfRule type="cellIs" dxfId="1316" priority="27" operator="lessThan">
      <formula>-0.05</formula>
    </cfRule>
  </conditionalFormatting>
  <conditionalFormatting sqref="G54">
    <cfRule type="containsText" dxfId="1315" priority="22" operator="containsText" text="NA">
      <formula>NOT(ISERROR(SEARCH("NA",G54)))</formula>
    </cfRule>
    <cfRule type="cellIs" dxfId="1314" priority="24" operator="greaterThan">
      <formula>0.05</formula>
    </cfRule>
  </conditionalFormatting>
  <conditionalFormatting sqref="G54">
    <cfRule type="cellIs" dxfId="1313" priority="21" operator="between">
      <formula>-0.05</formula>
      <formula>0.05</formula>
    </cfRule>
    <cfRule type="cellIs" dxfId="1312" priority="23" operator="lessThan">
      <formula>-0.05</formula>
    </cfRule>
  </conditionalFormatting>
  <conditionalFormatting sqref="H54:L54">
    <cfRule type="containsText" dxfId="1311" priority="18" operator="containsText" text="NA">
      <formula>NOT(ISERROR(SEARCH("NA",H54)))</formula>
    </cfRule>
    <cfRule type="cellIs" dxfId="1310" priority="20" operator="greaterThan">
      <formula>0.05</formula>
    </cfRule>
  </conditionalFormatting>
  <conditionalFormatting sqref="H54:L54">
    <cfRule type="cellIs" dxfId="1309" priority="17" operator="between">
      <formula>-0.05</formula>
      <formula>0.05</formula>
    </cfRule>
    <cfRule type="cellIs" dxfId="1308" priority="19" operator="lessThan">
      <formula>-0.05</formula>
    </cfRule>
  </conditionalFormatting>
  <conditionalFormatting sqref="G55:L55">
    <cfRule type="containsText" dxfId="1307" priority="14" operator="containsText" text="NA">
      <formula>NOT(ISERROR(SEARCH("NA",G55)))</formula>
    </cfRule>
    <cfRule type="cellIs" dxfId="1306" priority="16" operator="greaterThan">
      <formula>0.05</formula>
    </cfRule>
  </conditionalFormatting>
  <conditionalFormatting sqref="G55:L55">
    <cfRule type="cellIs" dxfId="1305" priority="13" operator="between">
      <formula>-0.05</formula>
      <formula>0.05</formula>
    </cfRule>
    <cfRule type="cellIs" dxfId="1304" priority="15" operator="lessThan">
      <formula>-0.05</formula>
    </cfRule>
  </conditionalFormatting>
  <conditionalFormatting sqref="G56">
    <cfRule type="containsText" dxfId="1303" priority="10" operator="containsText" text="NA">
      <formula>NOT(ISERROR(SEARCH("NA",G56)))</formula>
    </cfRule>
    <cfRule type="cellIs" dxfId="1302" priority="12" operator="greaterThan">
      <formula>0.05</formula>
    </cfRule>
  </conditionalFormatting>
  <conditionalFormatting sqref="G56">
    <cfRule type="cellIs" dxfId="1301" priority="9" operator="between">
      <formula>-0.05</formula>
      <formula>0.05</formula>
    </cfRule>
    <cfRule type="cellIs" dxfId="1300" priority="11" operator="lessThan">
      <formula>-0.05</formula>
    </cfRule>
  </conditionalFormatting>
  <conditionalFormatting sqref="H56:L56">
    <cfRule type="containsText" dxfId="1299" priority="6" operator="containsText" text="NA">
      <formula>NOT(ISERROR(SEARCH("NA",H56)))</formula>
    </cfRule>
    <cfRule type="cellIs" dxfId="1298" priority="8" operator="greaterThan">
      <formula>0.05</formula>
    </cfRule>
  </conditionalFormatting>
  <conditionalFormatting sqref="H56:L56">
    <cfRule type="cellIs" dxfId="1297" priority="5" operator="between">
      <formula>-0.05</formula>
      <formula>0.05</formula>
    </cfRule>
    <cfRule type="cellIs" dxfId="1296" priority="7" operator="lessThan">
      <formula>-0.05</formula>
    </cfRule>
  </conditionalFormatting>
  <conditionalFormatting sqref="G57:L57">
    <cfRule type="containsText" dxfId="1295" priority="2" operator="containsText" text="NA">
      <formula>NOT(ISERROR(SEARCH("NA",G57)))</formula>
    </cfRule>
    <cfRule type="cellIs" dxfId="1294" priority="4" operator="greaterThan">
      <formula>0.05</formula>
    </cfRule>
  </conditionalFormatting>
  <conditionalFormatting sqref="G57:L57">
    <cfRule type="cellIs" dxfId="1293" priority="1" operator="between">
      <formula>-0.05</formula>
      <formula>0.05</formula>
    </cfRule>
    <cfRule type="cellIs" dxfId="1292" priority="3" operator="lessThan">
      <formula>-0.05</formula>
    </cfRule>
  </conditionalFormatting>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50"/>
  <sheetViews>
    <sheetView topLeftCell="K1" workbookViewId="0">
      <selection activeCell="N1" sqref="N1:N10000"/>
    </sheetView>
  </sheetViews>
  <sheetFormatPr defaultRowHeight="14.25"/>
  <cols>
    <col min="1" max="1" width="7.625" customWidth="1"/>
    <col min="2" max="2" width="7.125" bestFit="1" customWidth="1"/>
    <col min="3" max="3" width="7.25" bestFit="1" customWidth="1"/>
    <col min="4" max="4" width="19" bestFit="1" customWidth="1"/>
    <col min="5" max="5" width="22.125" bestFit="1" customWidth="1"/>
    <col min="6" max="6" width="23.25" bestFit="1" customWidth="1"/>
    <col min="7" max="7" width="33.25" bestFit="1" customWidth="1"/>
    <col min="8" max="8" width="34.625" bestFit="1" customWidth="1"/>
    <col min="9" max="9" width="30.375" bestFit="1" customWidth="1"/>
    <col min="10" max="10" width="34.625" bestFit="1" customWidth="1"/>
    <col min="11" max="11" width="35.75" bestFit="1" customWidth="1"/>
    <col min="12" max="12" width="31.625" bestFit="1" customWidth="1"/>
    <col min="13" max="13" width="28.625" bestFit="1" customWidth="1"/>
    <col min="14" max="14" width="31.12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243">
        <v>1</v>
      </c>
      <c r="B2" s="243" t="s">
        <v>82</v>
      </c>
      <c r="C2" s="243" t="s">
        <v>61</v>
      </c>
      <c r="D2" s="243" t="s">
        <v>647</v>
      </c>
      <c r="E2" s="243" t="s">
        <v>115</v>
      </c>
      <c r="F2" s="243" t="s">
        <v>116</v>
      </c>
      <c r="G2" s="243" t="s">
        <v>458</v>
      </c>
      <c r="H2" s="243" t="s">
        <v>108</v>
      </c>
      <c r="I2" s="243" t="s">
        <v>109</v>
      </c>
      <c r="J2" s="243" t="s">
        <v>459</v>
      </c>
      <c r="K2" s="243" t="s">
        <v>111</v>
      </c>
      <c r="L2" s="243" t="s">
        <v>112</v>
      </c>
      <c r="M2" s="243" t="s">
        <v>113</v>
      </c>
      <c r="N2" s="243" t="s">
        <v>114</v>
      </c>
    </row>
    <row r="3" spans="1:14">
      <c r="A3" s="243"/>
      <c r="B3" s="243"/>
      <c r="C3" s="243"/>
      <c r="D3" s="243"/>
      <c r="E3" s="243"/>
      <c r="F3" s="243"/>
      <c r="G3" s="243"/>
      <c r="H3" s="243"/>
      <c r="I3" s="243"/>
      <c r="J3" s="243"/>
      <c r="K3" s="243"/>
      <c r="L3" s="243"/>
      <c r="M3" s="243"/>
      <c r="N3" s="243"/>
    </row>
    <row r="4" spans="1:14">
      <c r="A4" s="243"/>
      <c r="B4" s="243"/>
      <c r="C4" s="243"/>
      <c r="D4" s="243"/>
      <c r="E4" s="243"/>
      <c r="F4" s="243"/>
      <c r="G4" s="243"/>
      <c r="H4" s="243"/>
      <c r="I4" s="243"/>
      <c r="J4" s="243"/>
      <c r="K4" s="243"/>
      <c r="L4" s="243"/>
      <c r="M4" s="243"/>
      <c r="N4" s="243"/>
    </row>
    <row r="5" spans="1:14">
      <c r="A5" s="243"/>
      <c r="B5" s="243"/>
      <c r="C5" s="243"/>
      <c r="D5" s="243"/>
      <c r="E5" s="243"/>
      <c r="F5" s="243"/>
      <c r="G5" s="243"/>
      <c r="H5" s="243"/>
      <c r="I5" s="243"/>
      <c r="J5" s="243"/>
      <c r="K5" s="243"/>
      <c r="L5" s="243"/>
      <c r="M5" s="243"/>
      <c r="N5" s="243"/>
    </row>
    <row r="6" spans="1:14">
      <c r="A6" s="243"/>
      <c r="B6" s="243"/>
      <c r="C6" s="243"/>
      <c r="D6" s="243"/>
      <c r="E6" s="243"/>
      <c r="F6" s="243"/>
      <c r="G6" s="243"/>
      <c r="H6" s="243"/>
      <c r="I6" s="243"/>
      <c r="J6" s="243"/>
      <c r="K6" s="243"/>
      <c r="L6" s="243"/>
      <c r="M6" s="243"/>
      <c r="N6" s="243"/>
    </row>
    <row r="7" spans="1:14">
      <c r="A7" s="243"/>
      <c r="B7" s="243"/>
      <c r="C7" s="243"/>
      <c r="D7" s="243"/>
      <c r="E7" s="243"/>
      <c r="F7" s="243"/>
      <c r="G7" s="243"/>
      <c r="H7" s="243"/>
      <c r="I7" s="243"/>
      <c r="J7" s="243"/>
      <c r="K7" s="243"/>
      <c r="L7" s="243"/>
      <c r="M7" s="243"/>
      <c r="N7" s="243"/>
    </row>
    <row r="8" spans="1:14">
      <c r="A8" s="243"/>
      <c r="B8" s="243"/>
      <c r="C8" s="243"/>
      <c r="D8" s="243"/>
      <c r="E8" s="243"/>
      <c r="F8" s="243"/>
      <c r="G8" s="243"/>
      <c r="H8" s="243"/>
      <c r="I8" s="243"/>
      <c r="J8" s="243"/>
      <c r="K8" s="243"/>
      <c r="L8" s="243"/>
      <c r="M8" s="243"/>
      <c r="N8" s="243"/>
    </row>
    <row r="9" spans="1:14">
      <c r="A9" s="243"/>
      <c r="B9" s="243"/>
      <c r="C9" s="243"/>
      <c r="D9" s="243"/>
      <c r="E9" s="243"/>
      <c r="F9" s="243"/>
      <c r="G9" s="243"/>
      <c r="H9" s="243"/>
      <c r="I9" s="243"/>
      <c r="J9" s="243"/>
      <c r="K9" s="243"/>
      <c r="L9" s="243"/>
      <c r="M9" s="243"/>
      <c r="N9" s="243"/>
    </row>
    <row r="10" spans="1:14">
      <c r="A10" s="243"/>
      <c r="B10" s="243"/>
      <c r="C10" s="243"/>
      <c r="D10" s="243"/>
      <c r="E10" s="243"/>
      <c r="F10" s="243"/>
      <c r="G10" s="243"/>
      <c r="H10" s="243"/>
      <c r="I10" s="243"/>
      <c r="J10" s="243"/>
      <c r="K10" s="243"/>
      <c r="L10" s="243"/>
      <c r="M10" s="243"/>
      <c r="N10" s="243"/>
    </row>
    <row r="11" spans="1:14">
      <c r="A11" s="243"/>
      <c r="B11" s="243"/>
      <c r="C11" s="243"/>
      <c r="D11" s="243"/>
      <c r="E11" s="243"/>
      <c r="F11" s="243"/>
      <c r="G11" s="243"/>
      <c r="H11" s="243"/>
      <c r="I11" s="243"/>
      <c r="J11" s="243"/>
      <c r="K11" s="243"/>
      <c r="L11" s="243"/>
      <c r="M11" s="243"/>
      <c r="N11" s="243"/>
    </row>
    <row r="12" spans="1:14">
      <c r="A12" s="243"/>
      <c r="B12" s="243"/>
      <c r="C12" s="243"/>
      <c r="D12" s="243"/>
      <c r="E12" s="243"/>
      <c r="F12" s="243"/>
      <c r="G12" s="243"/>
      <c r="H12" s="243"/>
      <c r="I12" s="243"/>
      <c r="J12" s="243"/>
      <c r="K12" s="243"/>
      <c r="L12" s="243"/>
      <c r="M12" s="243"/>
      <c r="N12" s="243"/>
    </row>
    <row r="13" spans="1:14">
      <c r="A13" s="243"/>
      <c r="B13" s="243"/>
      <c r="C13" s="243"/>
      <c r="D13" s="243"/>
      <c r="E13" s="243"/>
      <c r="F13" s="243"/>
      <c r="G13" s="243"/>
      <c r="H13" s="243"/>
      <c r="I13" s="243"/>
      <c r="J13" s="243"/>
      <c r="K13" s="243"/>
      <c r="L13" s="243"/>
      <c r="M13" s="243"/>
      <c r="N13" s="243"/>
    </row>
    <row r="14" spans="1:14">
      <c r="A14" s="243"/>
      <c r="B14" s="243"/>
      <c r="C14" s="243"/>
      <c r="D14" s="243"/>
      <c r="E14" s="243"/>
      <c r="F14" s="243"/>
      <c r="G14" s="243"/>
      <c r="H14" s="243"/>
      <c r="I14" s="243"/>
      <c r="J14" s="243"/>
      <c r="K14" s="243"/>
      <c r="L14" s="243"/>
      <c r="M14" s="243"/>
      <c r="N14" s="243"/>
    </row>
    <row r="15" spans="1:14">
      <c r="A15" s="243"/>
      <c r="B15" s="243"/>
      <c r="C15" s="243"/>
      <c r="D15" s="243"/>
      <c r="E15" s="243"/>
      <c r="F15" s="243"/>
      <c r="G15" s="243"/>
      <c r="H15" s="243"/>
      <c r="I15" s="243"/>
      <c r="J15" s="243"/>
      <c r="K15" s="243"/>
      <c r="L15" s="243"/>
      <c r="M15" s="243"/>
      <c r="N15" s="243"/>
    </row>
    <row r="16" spans="1:14">
      <c r="A16" s="243"/>
      <c r="B16" s="243"/>
      <c r="C16" s="243"/>
      <c r="D16" s="243"/>
      <c r="E16" s="243"/>
      <c r="F16" s="243"/>
      <c r="G16" s="243"/>
      <c r="H16" s="243"/>
      <c r="I16" s="243"/>
      <c r="J16" s="243"/>
      <c r="K16" s="243"/>
      <c r="L16" s="243"/>
      <c r="M16" s="243"/>
      <c r="N16" s="243"/>
    </row>
    <row r="17" spans="1:14">
      <c r="A17" s="243"/>
      <c r="B17" s="243"/>
      <c r="C17" s="243"/>
      <c r="D17" s="243"/>
      <c r="E17" s="243"/>
      <c r="F17" s="243"/>
      <c r="G17" s="243"/>
      <c r="H17" s="243"/>
      <c r="I17" s="243"/>
      <c r="J17" s="243"/>
      <c r="K17" s="243"/>
      <c r="L17" s="243"/>
      <c r="M17" s="243"/>
      <c r="N17" s="243"/>
    </row>
    <row r="18" spans="1:14">
      <c r="A18" s="243"/>
      <c r="B18" s="243"/>
      <c r="C18" s="243"/>
      <c r="D18" s="243"/>
      <c r="E18" s="243"/>
      <c r="F18" s="243"/>
      <c r="G18" s="243"/>
      <c r="H18" s="243"/>
      <c r="I18" s="243"/>
      <c r="J18" s="243"/>
      <c r="K18" s="243"/>
      <c r="L18" s="243"/>
      <c r="M18" s="243"/>
      <c r="N18" s="243"/>
    </row>
    <row r="19" spans="1:14">
      <c r="A19" s="243"/>
      <c r="B19" s="243"/>
      <c r="C19" s="243"/>
      <c r="D19" s="243"/>
      <c r="E19" s="243"/>
      <c r="F19" s="243"/>
      <c r="G19" s="243"/>
      <c r="H19" s="243"/>
      <c r="I19" s="243"/>
      <c r="J19" s="243"/>
      <c r="K19" s="243"/>
      <c r="L19" s="243"/>
      <c r="M19" s="243"/>
      <c r="N19" s="243"/>
    </row>
    <row r="20" spans="1:14">
      <c r="A20" s="243"/>
      <c r="B20" s="243"/>
      <c r="C20" s="243"/>
      <c r="D20" s="243"/>
      <c r="E20" s="243"/>
      <c r="F20" s="243"/>
      <c r="G20" s="243"/>
      <c r="H20" s="243"/>
      <c r="I20" s="243"/>
      <c r="J20" s="243"/>
      <c r="K20" s="243"/>
      <c r="L20" s="243"/>
      <c r="M20" s="243"/>
      <c r="N20" s="243"/>
    </row>
    <row r="21" spans="1:14">
      <c r="A21" s="243"/>
      <c r="B21" s="243"/>
      <c r="C21" s="243"/>
      <c r="D21" s="243"/>
      <c r="E21" s="243"/>
      <c r="F21" s="243"/>
      <c r="G21" s="243"/>
      <c r="H21" s="243"/>
      <c r="I21" s="243"/>
      <c r="J21" s="243"/>
      <c r="K21" s="243"/>
      <c r="L21" s="243"/>
      <c r="M21" s="243"/>
      <c r="N21" s="243"/>
    </row>
    <row r="22" spans="1:14">
      <c r="A22" s="243"/>
      <c r="B22" s="243"/>
      <c r="C22" s="243"/>
      <c r="D22" s="243"/>
      <c r="E22" s="243"/>
      <c r="F22" s="243"/>
      <c r="G22" s="243"/>
      <c r="H22" s="243"/>
      <c r="I22" s="243"/>
      <c r="J22" s="243"/>
      <c r="K22" s="243"/>
      <c r="L22" s="243"/>
      <c r="M22" s="243"/>
      <c r="N22" s="243"/>
    </row>
    <row r="23" spans="1:14">
      <c r="A23" s="243"/>
      <c r="B23" s="243"/>
      <c r="C23" s="243"/>
      <c r="D23" s="243"/>
      <c r="E23" s="243"/>
      <c r="F23" s="243"/>
      <c r="G23" s="243"/>
      <c r="H23" s="243"/>
      <c r="I23" s="243"/>
      <c r="J23" s="243"/>
      <c r="K23" s="243"/>
      <c r="L23" s="243"/>
      <c r="M23" s="243"/>
      <c r="N23" s="243"/>
    </row>
    <row r="24" spans="1:14">
      <c r="A24" s="243"/>
      <c r="B24" s="243"/>
      <c r="C24" s="243"/>
      <c r="D24" s="243"/>
      <c r="E24" s="243"/>
      <c r="F24" s="243"/>
      <c r="G24" s="243"/>
      <c r="H24" s="243"/>
      <c r="I24" s="243"/>
      <c r="J24" s="243"/>
      <c r="K24" s="243"/>
      <c r="L24" s="243"/>
      <c r="M24" s="243"/>
      <c r="N24" s="243"/>
    </row>
    <row r="25" spans="1:14">
      <c r="A25" s="243"/>
      <c r="B25" s="243"/>
      <c r="C25" s="243"/>
      <c r="D25" s="243"/>
      <c r="E25" s="243"/>
      <c r="F25" s="243"/>
      <c r="G25" s="243"/>
      <c r="H25" s="243"/>
      <c r="I25" s="243"/>
      <c r="J25" s="243"/>
      <c r="K25" s="243"/>
      <c r="L25" s="243"/>
      <c r="M25" s="243"/>
      <c r="N25" s="243"/>
    </row>
    <row r="26" spans="1:14">
      <c r="A26" s="243"/>
      <c r="B26" s="243"/>
      <c r="C26" s="243"/>
      <c r="D26" s="243"/>
      <c r="E26" s="243"/>
      <c r="F26" s="243"/>
      <c r="G26" s="243"/>
      <c r="H26" s="243"/>
      <c r="I26" s="243"/>
      <c r="J26" s="243"/>
      <c r="K26" s="243"/>
      <c r="L26" s="243"/>
      <c r="M26" s="243"/>
      <c r="N26" s="243"/>
    </row>
    <row r="27" spans="1:14">
      <c r="A27" s="243"/>
      <c r="B27" s="243"/>
      <c r="C27" s="243"/>
      <c r="D27" s="243"/>
      <c r="E27" s="243"/>
      <c r="F27" s="243"/>
      <c r="G27" s="243"/>
      <c r="H27" s="243"/>
      <c r="I27" s="243"/>
      <c r="J27" s="243"/>
      <c r="K27" s="243"/>
      <c r="L27" s="243"/>
      <c r="M27" s="243"/>
      <c r="N27" s="243"/>
    </row>
    <row r="28" spans="1:14">
      <c r="A28" s="243"/>
      <c r="B28" s="243"/>
      <c r="C28" s="243"/>
      <c r="D28" s="243"/>
      <c r="E28" s="243"/>
      <c r="F28" s="243"/>
      <c r="G28" s="243"/>
      <c r="H28" s="243"/>
      <c r="I28" s="243"/>
      <c r="J28" s="243"/>
      <c r="K28" s="243"/>
      <c r="L28" s="243"/>
      <c r="M28" s="243"/>
      <c r="N28" s="243"/>
    </row>
    <row r="29" spans="1:14">
      <c r="A29" s="243"/>
      <c r="B29" s="243"/>
      <c r="C29" s="243"/>
      <c r="D29" s="243"/>
      <c r="E29" s="243"/>
      <c r="F29" s="243"/>
      <c r="G29" s="243"/>
      <c r="H29" s="243"/>
      <c r="I29" s="243"/>
      <c r="J29" s="243"/>
      <c r="K29" s="243"/>
      <c r="L29" s="243"/>
      <c r="M29" s="243"/>
      <c r="N29" s="243"/>
    </row>
    <row r="30" spans="1:14">
      <c r="A30" s="243"/>
      <c r="B30" s="243"/>
      <c r="C30" s="243"/>
      <c r="D30" s="243"/>
      <c r="E30" s="243"/>
      <c r="F30" s="243"/>
      <c r="G30" s="243"/>
      <c r="H30" s="243"/>
      <c r="I30" s="243"/>
      <c r="J30" s="243"/>
      <c r="K30" s="243"/>
      <c r="L30" s="243"/>
      <c r="M30" s="243"/>
      <c r="N30" s="243"/>
    </row>
    <row r="31" spans="1:14">
      <c r="A31" s="243"/>
      <c r="B31" s="243"/>
      <c r="C31" s="243"/>
      <c r="D31" s="243"/>
      <c r="E31" s="243"/>
      <c r="F31" s="243"/>
      <c r="G31" s="243"/>
      <c r="H31" s="243"/>
      <c r="I31" s="243"/>
      <c r="J31" s="243"/>
      <c r="K31" s="243"/>
      <c r="L31" s="243"/>
      <c r="M31" s="243"/>
      <c r="N31" s="243"/>
    </row>
    <row r="32" spans="1:14">
      <c r="A32" s="243"/>
      <c r="B32" s="243"/>
      <c r="C32" s="243"/>
      <c r="D32" s="243"/>
      <c r="E32" s="243"/>
      <c r="F32" s="243"/>
      <c r="G32" s="243"/>
      <c r="H32" s="243"/>
      <c r="I32" s="243"/>
      <c r="J32" s="243"/>
      <c r="K32" s="243"/>
      <c r="L32" s="243"/>
      <c r="M32" s="243"/>
      <c r="N32" s="243"/>
    </row>
    <row r="33" spans="1:14">
      <c r="A33" s="243"/>
      <c r="B33" s="243"/>
      <c r="C33" s="243"/>
      <c r="D33" s="243"/>
      <c r="E33" s="243"/>
      <c r="F33" s="243"/>
      <c r="G33" s="243"/>
      <c r="H33" s="243"/>
      <c r="I33" s="243"/>
      <c r="J33" s="243"/>
      <c r="K33" s="243"/>
      <c r="L33" s="243"/>
      <c r="M33" s="243"/>
      <c r="N33" s="243"/>
    </row>
    <row r="34" spans="1:14">
      <c r="A34" s="243"/>
      <c r="B34" s="243"/>
      <c r="C34" s="243"/>
      <c r="D34" s="243"/>
      <c r="E34" s="243"/>
      <c r="F34" s="243"/>
      <c r="G34" s="243"/>
      <c r="H34" s="243"/>
      <c r="I34" s="243"/>
      <c r="J34" s="243"/>
      <c r="K34" s="243"/>
      <c r="L34" s="243"/>
      <c r="M34" s="243"/>
      <c r="N34" s="243"/>
    </row>
    <row r="35" spans="1:14">
      <c r="A35" s="243"/>
      <c r="B35" s="243"/>
      <c r="C35" s="243"/>
      <c r="D35" s="243"/>
      <c r="E35" s="243"/>
      <c r="F35" s="243"/>
      <c r="G35" s="243"/>
      <c r="H35" s="243"/>
      <c r="I35" s="243"/>
      <c r="J35" s="243"/>
      <c r="K35" s="243"/>
      <c r="L35" s="243"/>
      <c r="M35" s="243"/>
      <c r="N35" s="243"/>
    </row>
    <row r="36" spans="1:14">
      <c r="A36" s="243"/>
      <c r="B36" s="243"/>
      <c r="C36" s="243"/>
      <c r="D36" s="243"/>
      <c r="E36" s="243"/>
      <c r="F36" s="243"/>
      <c r="G36" s="243"/>
      <c r="H36" s="243"/>
      <c r="I36" s="243"/>
      <c r="J36" s="243"/>
      <c r="K36" s="243"/>
      <c r="L36" s="243"/>
      <c r="M36" s="243"/>
      <c r="N36" s="243"/>
    </row>
    <row r="37" spans="1:14">
      <c r="A37" s="243"/>
      <c r="B37" s="243"/>
      <c r="C37" s="243"/>
      <c r="D37" s="243"/>
      <c r="E37" s="243"/>
      <c r="F37" s="243"/>
      <c r="G37" s="243"/>
      <c r="H37" s="243"/>
      <c r="I37" s="243"/>
      <c r="J37" s="243"/>
      <c r="K37" s="243"/>
      <c r="L37" s="243"/>
      <c r="M37" s="243"/>
      <c r="N37" s="243"/>
    </row>
    <row r="38" spans="1:14">
      <c r="A38" s="243"/>
      <c r="B38" s="243"/>
      <c r="C38" s="243"/>
      <c r="D38" s="243"/>
      <c r="E38" s="243"/>
      <c r="F38" s="243"/>
      <c r="G38" s="243"/>
      <c r="H38" s="243"/>
      <c r="I38" s="243"/>
      <c r="J38" s="243"/>
      <c r="K38" s="243"/>
      <c r="L38" s="243"/>
      <c r="M38" s="243"/>
      <c r="N38" s="243"/>
    </row>
    <row r="39" spans="1:14">
      <c r="A39" s="243"/>
      <c r="B39" s="243"/>
      <c r="C39" s="243"/>
      <c r="D39" s="243"/>
      <c r="E39" s="243"/>
      <c r="F39" s="243"/>
      <c r="G39" s="243"/>
      <c r="H39" s="243"/>
      <c r="I39" s="243"/>
      <c r="J39" s="243"/>
      <c r="K39" s="243"/>
      <c r="L39" s="243"/>
      <c r="M39" s="243"/>
      <c r="N39" s="243"/>
    </row>
    <row r="40" spans="1:14">
      <c r="A40" s="243"/>
      <c r="B40" s="243"/>
      <c r="C40" s="243"/>
      <c r="D40" s="243"/>
      <c r="E40" s="243"/>
      <c r="F40" s="243"/>
      <c r="G40" s="243"/>
      <c r="H40" s="243"/>
      <c r="I40" s="243"/>
      <c r="J40" s="243"/>
      <c r="K40" s="243"/>
      <c r="L40" s="243"/>
      <c r="M40" s="243"/>
      <c r="N40" s="243"/>
    </row>
    <row r="41" spans="1:14">
      <c r="A41" s="243"/>
      <c r="B41" s="243"/>
      <c r="C41" s="243"/>
      <c r="D41" s="243"/>
      <c r="E41" s="243"/>
      <c r="F41" s="243"/>
      <c r="G41" s="243"/>
      <c r="H41" s="243"/>
      <c r="I41" s="243"/>
      <c r="J41" s="243"/>
      <c r="K41" s="243"/>
      <c r="L41" s="243"/>
      <c r="M41" s="243"/>
      <c r="N41" s="243"/>
    </row>
    <row r="42" spans="1:14">
      <c r="A42" s="243"/>
      <c r="B42" s="243"/>
      <c r="C42" s="243"/>
      <c r="D42" s="243"/>
      <c r="E42" s="243"/>
      <c r="F42" s="243"/>
      <c r="G42" s="243"/>
      <c r="H42" s="243"/>
      <c r="I42" s="243"/>
      <c r="J42" s="243"/>
      <c r="K42" s="243"/>
      <c r="L42" s="243"/>
      <c r="M42" s="243"/>
      <c r="N42" s="243"/>
    </row>
    <row r="43" spans="1:14">
      <c r="A43" s="243"/>
      <c r="B43" s="243"/>
      <c r="C43" s="243"/>
      <c r="D43" s="243"/>
      <c r="E43" s="243"/>
      <c r="F43" s="243"/>
      <c r="G43" s="243"/>
      <c r="H43" s="243"/>
      <c r="I43" s="243"/>
      <c r="J43" s="243"/>
      <c r="K43" s="243"/>
      <c r="L43" s="243"/>
      <c r="M43" s="243"/>
      <c r="N43" s="243"/>
    </row>
    <row r="44" spans="1:14">
      <c r="A44" s="243"/>
      <c r="B44" s="243"/>
      <c r="C44" s="243"/>
      <c r="D44" s="243"/>
      <c r="E44" s="243"/>
      <c r="F44" s="243"/>
      <c r="G44" s="243"/>
      <c r="H44" s="243"/>
      <c r="I44" s="243"/>
      <c r="J44" s="243"/>
      <c r="K44" s="243"/>
      <c r="L44" s="243"/>
      <c r="M44" s="243"/>
      <c r="N44" s="243"/>
    </row>
    <row r="45" spans="1:14">
      <c r="A45" s="243"/>
      <c r="B45" s="243"/>
      <c r="C45" s="243"/>
      <c r="D45" s="243"/>
      <c r="E45" s="243"/>
      <c r="F45" s="243"/>
      <c r="G45" s="243"/>
      <c r="H45" s="243"/>
      <c r="I45" s="243"/>
      <c r="J45" s="243"/>
      <c r="K45" s="243"/>
      <c r="L45" s="243"/>
      <c r="M45" s="243"/>
      <c r="N45" s="243"/>
    </row>
    <row r="46" spans="1:14">
      <c r="A46" s="243"/>
      <c r="B46" s="243"/>
      <c r="C46" s="243"/>
      <c r="D46" s="243"/>
      <c r="E46" s="243"/>
      <c r="F46" s="243"/>
      <c r="G46" s="243"/>
      <c r="H46" s="243"/>
      <c r="I46" s="243"/>
      <c r="J46" s="243"/>
      <c r="K46" s="243"/>
      <c r="L46" s="243"/>
      <c r="M46" s="243"/>
      <c r="N46" s="243"/>
    </row>
    <row r="47" spans="1:14">
      <c r="A47" s="243"/>
      <c r="B47" s="243"/>
      <c r="C47" s="243"/>
      <c r="D47" s="243"/>
      <c r="E47" s="243"/>
      <c r="F47" s="243"/>
      <c r="G47" s="243"/>
      <c r="H47" s="243"/>
      <c r="I47" s="243"/>
      <c r="J47" s="243"/>
      <c r="K47" s="243"/>
      <c r="L47" s="243"/>
      <c r="M47" s="243"/>
      <c r="N47" s="243"/>
    </row>
    <row r="48" spans="1:14">
      <c r="A48" s="243"/>
      <c r="B48" s="243"/>
      <c r="C48" s="243"/>
      <c r="D48" s="243"/>
      <c r="E48" s="243"/>
      <c r="F48" s="243"/>
      <c r="G48" s="243"/>
      <c r="H48" s="243"/>
      <c r="I48" s="243"/>
      <c r="J48" s="243"/>
      <c r="K48" s="243"/>
      <c r="L48" s="243"/>
      <c r="M48" s="243"/>
      <c r="N48" s="243"/>
    </row>
    <row r="49" spans="1:14">
      <c r="A49" s="243"/>
      <c r="B49" s="243"/>
      <c r="C49" s="243"/>
      <c r="D49" s="243"/>
      <c r="E49" s="243"/>
      <c r="F49" s="243"/>
      <c r="G49" s="243"/>
      <c r="H49" s="243"/>
      <c r="I49" s="243"/>
      <c r="J49" s="243"/>
      <c r="K49" s="243"/>
      <c r="L49" s="243"/>
      <c r="M49" s="243"/>
      <c r="N49" s="243"/>
    </row>
    <row r="50" spans="1:14">
      <c r="A50" s="243"/>
      <c r="B50" s="243"/>
      <c r="C50" s="243"/>
      <c r="D50" s="243"/>
      <c r="E50" s="243"/>
      <c r="F50" s="243"/>
      <c r="G50" s="243"/>
      <c r="H50" s="243"/>
      <c r="I50" s="243"/>
      <c r="J50" s="243"/>
      <c r="K50" s="243"/>
      <c r="L50" s="243"/>
      <c r="M50" s="243"/>
      <c r="N50" s="243"/>
    </row>
  </sheetData>
  <autoFilter ref="A1:N50"/>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topLeftCell="J1" workbookViewId="0">
      <selection sqref="A1:N1"/>
    </sheetView>
  </sheetViews>
  <sheetFormatPr defaultRowHeight="14.25"/>
  <cols>
    <col min="1" max="1" width="3" customWidth="1"/>
    <col min="2" max="2" width="7.125" customWidth="1"/>
    <col min="3" max="3" width="7.25" customWidth="1"/>
    <col min="4" max="4" width="13.75" customWidth="1"/>
    <col min="5" max="5" width="18" bestFit="1" customWidth="1"/>
    <col min="6" max="6" width="22.125" customWidth="1"/>
    <col min="7" max="7" width="23.25" customWidth="1"/>
    <col min="8" max="8" width="33.25" customWidth="1"/>
    <col min="9" max="9" width="34.625" customWidth="1"/>
    <col min="10" max="10" width="30.375" customWidth="1"/>
    <col min="11" max="11" width="34.625" customWidth="1"/>
    <col min="12" max="12" width="35.75" customWidth="1"/>
    <col min="13" max="13" width="31.625" customWidth="1"/>
    <col min="14" max="14" width="28.625"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ht="15">
      <c r="A2" s="129">
        <v>1</v>
      </c>
      <c r="B2" s="130" t="s">
        <v>82</v>
      </c>
      <c r="C2" s="130" t="s">
        <v>61</v>
      </c>
      <c r="D2" s="130" t="s">
        <v>647</v>
      </c>
      <c r="E2" s="130" t="s">
        <v>115</v>
      </c>
      <c r="F2" s="130" t="s">
        <v>116</v>
      </c>
      <c r="G2" s="130" t="s">
        <v>458</v>
      </c>
      <c r="H2" s="130" t="s">
        <v>108</v>
      </c>
      <c r="I2" s="130" t="s">
        <v>109</v>
      </c>
      <c r="J2" s="130" t="s">
        <v>459</v>
      </c>
      <c r="K2" s="130" t="s">
        <v>111</v>
      </c>
      <c r="L2" s="130" t="s">
        <v>112</v>
      </c>
      <c r="M2" s="130" t="s">
        <v>113</v>
      </c>
      <c r="N2" s="130" t="s">
        <v>114</v>
      </c>
    </row>
    <row r="3" spans="1:14">
      <c r="A3">
        <v>2</v>
      </c>
      <c r="B3" t="s">
        <v>460</v>
      </c>
      <c r="C3" t="s">
        <v>461</v>
      </c>
      <c r="D3" t="s">
        <v>462</v>
      </c>
      <c r="E3" t="s">
        <v>463</v>
      </c>
      <c r="F3" t="s">
        <v>464</v>
      </c>
      <c r="G3" t="s">
        <v>465</v>
      </c>
      <c r="H3" t="s">
        <v>466</v>
      </c>
      <c r="I3" t="s">
        <v>467</v>
      </c>
      <c r="J3" t="s">
        <v>468</v>
      </c>
      <c r="K3" t="s">
        <v>469</v>
      </c>
      <c r="L3" t="s">
        <v>470</v>
      </c>
      <c r="M3" t="s">
        <v>471</v>
      </c>
      <c r="N3" t="s">
        <v>158</v>
      </c>
    </row>
    <row r="4" spans="1:14">
      <c r="A4">
        <v>3</v>
      </c>
      <c r="B4" t="s">
        <v>460</v>
      </c>
      <c r="C4" t="s">
        <v>472</v>
      </c>
      <c r="D4" t="s">
        <v>473</v>
      </c>
      <c r="E4" t="s">
        <v>474</v>
      </c>
      <c r="F4" t="s">
        <v>475</v>
      </c>
      <c r="G4" t="s">
        <v>476</v>
      </c>
      <c r="H4" t="s">
        <v>477</v>
      </c>
      <c r="I4" t="s">
        <v>478</v>
      </c>
      <c r="J4" t="s">
        <v>479</v>
      </c>
      <c r="K4" t="s">
        <v>480</v>
      </c>
      <c r="L4" t="s">
        <v>481</v>
      </c>
      <c r="M4" t="s">
        <v>482</v>
      </c>
      <c r="N4" t="s">
        <v>170</v>
      </c>
    </row>
    <row r="5" spans="1:14">
      <c r="A5">
        <v>4</v>
      </c>
      <c r="B5" t="s">
        <v>460</v>
      </c>
      <c r="C5" t="s">
        <v>483</v>
      </c>
      <c r="D5" t="s">
        <v>484</v>
      </c>
      <c r="E5" t="s">
        <v>485</v>
      </c>
      <c r="F5" t="s">
        <v>486</v>
      </c>
      <c r="G5" t="s">
        <v>487</v>
      </c>
      <c r="H5" t="s">
        <v>488</v>
      </c>
      <c r="I5" t="s">
        <v>489</v>
      </c>
      <c r="J5" t="s">
        <v>490</v>
      </c>
      <c r="K5" t="s">
        <v>491</v>
      </c>
      <c r="L5" t="s">
        <v>492</v>
      </c>
      <c r="M5" t="s">
        <v>493</v>
      </c>
      <c r="N5" t="s">
        <v>182</v>
      </c>
    </row>
    <row r="6" spans="1:14">
      <c r="A6">
        <v>5</v>
      </c>
      <c r="B6" t="s">
        <v>460</v>
      </c>
      <c r="C6" t="s">
        <v>494</v>
      </c>
      <c r="D6" t="s">
        <v>495</v>
      </c>
      <c r="E6" t="s">
        <v>496</v>
      </c>
      <c r="F6" t="s">
        <v>497</v>
      </c>
      <c r="G6" t="s">
        <v>498</v>
      </c>
      <c r="H6" t="s">
        <v>499</v>
      </c>
      <c r="I6" t="s">
        <v>500</v>
      </c>
      <c r="J6" t="s">
        <v>501</v>
      </c>
      <c r="K6" t="s">
        <v>502</v>
      </c>
      <c r="L6" t="s">
        <v>503</v>
      </c>
      <c r="M6" t="s">
        <v>504</v>
      </c>
      <c r="N6" t="s">
        <v>194</v>
      </c>
    </row>
    <row r="7" spans="1:14">
      <c r="A7">
        <v>6</v>
      </c>
      <c r="B7" t="s">
        <v>460</v>
      </c>
      <c r="C7" t="s">
        <v>505</v>
      </c>
      <c r="D7" t="s">
        <v>506</v>
      </c>
      <c r="E7" t="s">
        <v>507</v>
      </c>
      <c r="F7" t="s">
        <v>508</v>
      </c>
      <c r="G7" t="s">
        <v>509</v>
      </c>
      <c r="H7" t="s">
        <v>510</v>
      </c>
      <c r="I7" t="s">
        <v>511</v>
      </c>
      <c r="J7" t="s">
        <v>512</v>
      </c>
      <c r="K7" t="s">
        <v>513</v>
      </c>
      <c r="L7" t="s">
        <v>514</v>
      </c>
      <c r="M7" t="s">
        <v>515</v>
      </c>
      <c r="N7" t="s">
        <v>206</v>
      </c>
    </row>
    <row r="8" spans="1:14">
      <c r="A8">
        <v>7</v>
      </c>
      <c r="B8" t="s">
        <v>460</v>
      </c>
      <c r="C8" t="s">
        <v>516</v>
      </c>
      <c r="D8" t="s">
        <v>517</v>
      </c>
      <c r="E8" t="s">
        <v>518</v>
      </c>
      <c r="F8" t="s">
        <v>519</v>
      </c>
      <c r="G8" t="s">
        <v>520</v>
      </c>
      <c r="H8" t="s">
        <v>521</v>
      </c>
      <c r="I8" t="s">
        <v>522</v>
      </c>
      <c r="J8" t="s">
        <v>523</v>
      </c>
      <c r="K8" t="s">
        <v>524</v>
      </c>
      <c r="L8" t="s">
        <v>525</v>
      </c>
      <c r="M8" t="s">
        <v>526</v>
      </c>
      <c r="N8" t="s">
        <v>218</v>
      </c>
    </row>
    <row r="9" spans="1:14">
      <c r="A9">
        <v>8</v>
      </c>
      <c r="B9" t="s">
        <v>460</v>
      </c>
      <c r="C9" t="s">
        <v>527</v>
      </c>
      <c r="D9" t="s">
        <v>528</v>
      </c>
      <c r="E9" t="s">
        <v>529</v>
      </c>
      <c r="F9" t="s">
        <v>530</v>
      </c>
      <c r="G9" t="s">
        <v>531</v>
      </c>
      <c r="H9" t="s">
        <v>532</v>
      </c>
      <c r="I9" t="s">
        <v>533</v>
      </c>
      <c r="J9" t="s">
        <v>534</v>
      </c>
      <c r="K9" t="s">
        <v>535</v>
      </c>
      <c r="L9" t="s">
        <v>536</v>
      </c>
      <c r="M9" t="s">
        <v>537</v>
      </c>
      <c r="N9" t="s">
        <v>230</v>
      </c>
    </row>
    <row r="10" spans="1:14">
      <c r="A10">
        <v>9</v>
      </c>
      <c r="B10" t="s">
        <v>538</v>
      </c>
      <c r="C10" t="s">
        <v>539</v>
      </c>
      <c r="D10" t="s">
        <v>540</v>
      </c>
      <c r="E10" t="s">
        <v>541</v>
      </c>
      <c r="F10" t="s">
        <v>542</v>
      </c>
      <c r="G10" t="s">
        <v>543</v>
      </c>
      <c r="H10" t="s">
        <v>544</v>
      </c>
      <c r="I10" t="s">
        <v>545</v>
      </c>
      <c r="J10" t="s">
        <v>546</v>
      </c>
      <c r="K10" t="s">
        <v>547</v>
      </c>
      <c r="L10" t="s">
        <v>548</v>
      </c>
      <c r="M10" t="s">
        <v>549</v>
      </c>
      <c r="N10" t="s">
        <v>444</v>
      </c>
    </row>
    <row r="11" spans="1:14">
      <c r="A11">
        <v>10</v>
      </c>
      <c r="B11" t="s">
        <v>538</v>
      </c>
      <c r="C11" t="s">
        <v>550</v>
      </c>
      <c r="D11" t="s">
        <v>551</v>
      </c>
      <c r="E11" t="s">
        <v>552</v>
      </c>
      <c r="F11" t="s">
        <v>553</v>
      </c>
      <c r="G11" t="s">
        <v>554</v>
      </c>
      <c r="H11" t="s">
        <v>555</v>
      </c>
      <c r="I11" t="s">
        <v>556</v>
      </c>
      <c r="J11" t="s">
        <v>557</v>
      </c>
      <c r="K11" t="s">
        <v>558</v>
      </c>
      <c r="L11" t="s">
        <v>559</v>
      </c>
      <c r="M11" t="s">
        <v>560</v>
      </c>
      <c r="N11" t="s">
        <v>561</v>
      </c>
    </row>
    <row r="12" spans="1:14">
      <c r="A12">
        <v>11</v>
      </c>
      <c r="B12" t="s">
        <v>538</v>
      </c>
      <c r="C12" t="s">
        <v>562</v>
      </c>
      <c r="D12" t="s">
        <v>563</v>
      </c>
      <c r="E12" t="s">
        <v>564</v>
      </c>
      <c r="F12" t="s">
        <v>565</v>
      </c>
      <c r="G12" t="s">
        <v>566</v>
      </c>
      <c r="H12" t="s">
        <v>567</v>
      </c>
      <c r="I12" t="s">
        <v>568</v>
      </c>
      <c r="J12" t="s">
        <v>569</v>
      </c>
      <c r="K12" t="s">
        <v>570</v>
      </c>
      <c r="L12" t="s">
        <v>571</v>
      </c>
      <c r="M12" t="s">
        <v>572</v>
      </c>
      <c r="N12" t="s">
        <v>573</v>
      </c>
    </row>
    <row r="13" spans="1:14">
      <c r="A13">
        <v>12</v>
      </c>
      <c r="B13" t="s">
        <v>538</v>
      </c>
      <c r="C13" t="s">
        <v>574</v>
      </c>
      <c r="D13" t="s">
        <v>575</v>
      </c>
      <c r="E13" t="s">
        <v>576</v>
      </c>
      <c r="F13" t="s">
        <v>577</v>
      </c>
      <c r="G13" t="s">
        <v>578</v>
      </c>
      <c r="H13" t="s">
        <v>579</v>
      </c>
      <c r="I13" t="s">
        <v>580</v>
      </c>
      <c r="J13" t="s">
        <v>581</v>
      </c>
      <c r="K13" t="s">
        <v>582</v>
      </c>
      <c r="L13" t="s">
        <v>583</v>
      </c>
      <c r="M13" t="s">
        <v>584</v>
      </c>
      <c r="N13" t="s">
        <v>585</v>
      </c>
    </row>
    <row r="14" spans="1:14">
      <c r="A14">
        <v>13</v>
      </c>
      <c r="B14" t="s">
        <v>538</v>
      </c>
      <c r="C14" t="s">
        <v>586</v>
      </c>
      <c r="D14" t="s">
        <v>587</v>
      </c>
      <c r="E14" t="s">
        <v>588</v>
      </c>
      <c r="F14" t="s">
        <v>589</v>
      </c>
      <c r="G14" t="s">
        <v>590</v>
      </c>
      <c r="H14" t="s">
        <v>591</v>
      </c>
      <c r="I14" t="s">
        <v>592</v>
      </c>
      <c r="J14" t="s">
        <v>593</v>
      </c>
      <c r="K14" t="s">
        <v>594</v>
      </c>
      <c r="L14" t="s">
        <v>595</v>
      </c>
      <c r="M14" t="s">
        <v>596</v>
      </c>
      <c r="N14" t="s">
        <v>597</v>
      </c>
    </row>
    <row r="15" spans="1:14">
      <c r="A15">
        <v>14</v>
      </c>
      <c r="B15" t="s">
        <v>598</v>
      </c>
      <c r="C15" t="s">
        <v>599</v>
      </c>
      <c r="D15" t="s">
        <v>600</v>
      </c>
      <c r="E15" t="s">
        <v>601</v>
      </c>
      <c r="F15" t="s">
        <v>602</v>
      </c>
      <c r="G15" t="s">
        <v>603</v>
      </c>
      <c r="H15" t="s">
        <v>604</v>
      </c>
      <c r="I15" t="s">
        <v>605</v>
      </c>
      <c r="J15" t="s">
        <v>606</v>
      </c>
      <c r="K15" t="s">
        <v>607</v>
      </c>
      <c r="L15" t="s">
        <v>608</v>
      </c>
      <c r="M15" t="s">
        <v>609</v>
      </c>
      <c r="N15" t="s">
        <v>610</v>
      </c>
    </row>
    <row r="16" spans="1:14">
      <c r="A16">
        <v>15</v>
      </c>
      <c r="B16" t="s">
        <v>598</v>
      </c>
      <c r="C16" t="s">
        <v>611</v>
      </c>
      <c r="D16" t="s">
        <v>612</v>
      </c>
      <c r="E16" t="s">
        <v>613</v>
      </c>
      <c r="F16" t="s">
        <v>614</v>
      </c>
      <c r="G16" t="s">
        <v>615</v>
      </c>
      <c r="H16" t="s">
        <v>616</v>
      </c>
      <c r="I16" t="s">
        <v>617</v>
      </c>
      <c r="J16" t="s">
        <v>618</v>
      </c>
      <c r="K16" t="s">
        <v>619</v>
      </c>
      <c r="L16" t="s">
        <v>620</v>
      </c>
      <c r="M16" t="s">
        <v>621</v>
      </c>
      <c r="N16" t="s">
        <v>622</v>
      </c>
    </row>
    <row r="17" spans="1:14">
      <c r="A17">
        <v>16</v>
      </c>
      <c r="B17" t="s">
        <v>598</v>
      </c>
      <c r="C17" t="s">
        <v>623</v>
      </c>
      <c r="D17" t="s">
        <v>624</v>
      </c>
      <c r="E17" t="s">
        <v>625</v>
      </c>
      <c r="F17" t="s">
        <v>626</v>
      </c>
      <c r="G17" t="s">
        <v>627</v>
      </c>
      <c r="H17" t="s">
        <v>628</v>
      </c>
      <c r="I17" t="s">
        <v>629</v>
      </c>
      <c r="J17" t="s">
        <v>630</v>
      </c>
      <c r="K17" t="s">
        <v>631</v>
      </c>
      <c r="L17" t="s">
        <v>632</v>
      </c>
      <c r="M17" t="s">
        <v>633</v>
      </c>
      <c r="N17" t="s">
        <v>634</v>
      </c>
    </row>
    <row r="18" spans="1:14">
      <c r="A18">
        <v>17</v>
      </c>
      <c r="B18" t="s">
        <v>598</v>
      </c>
      <c r="C18" t="s">
        <v>635</v>
      </c>
      <c r="D18" t="s">
        <v>636</v>
      </c>
      <c r="E18" t="s">
        <v>637</v>
      </c>
      <c r="F18" t="s">
        <v>638</v>
      </c>
      <c r="G18" t="s">
        <v>639</v>
      </c>
      <c r="H18" t="s">
        <v>640</v>
      </c>
      <c r="I18" t="s">
        <v>641</v>
      </c>
      <c r="J18" t="s">
        <v>642</v>
      </c>
      <c r="K18" t="s">
        <v>643</v>
      </c>
      <c r="L18" t="s">
        <v>644</v>
      </c>
      <c r="M18" t="s">
        <v>645</v>
      </c>
      <c r="N18" t="s">
        <v>646</v>
      </c>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AK221"/>
  <sheetViews>
    <sheetView showGridLines="0" zoomScale="90" zoomScaleNormal="90" workbookViewId="0">
      <pane ySplit="9" topLeftCell="A10" activePane="bottomLeft" state="frozen"/>
      <selection pane="bottomLeft"/>
    </sheetView>
  </sheetViews>
  <sheetFormatPr defaultRowHeight="14.25"/>
  <cols>
    <col min="1" max="1" width="1.75" customWidth="1"/>
    <col min="2" max="2" width="11" bestFit="1" customWidth="1"/>
    <col min="3" max="3" width="10.75" bestFit="1" customWidth="1"/>
    <col min="4" max="4" width="22.625" customWidth="1"/>
    <col min="5" max="5" width="13.25" customWidth="1"/>
    <col min="6" max="6" width="12.75" customWidth="1"/>
    <col min="7" max="7" width="13.25" customWidth="1"/>
    <col min="8" max="8" width="15.25" customWidth="1"/>
    <col min="9" max="10" width="13.25" customWidth="1"/>
    <col min="11" max="11" width="14.875" customWidth="1"/>
    <col min="12" max="12" width="13.25" customWidth="1"/>
    <col min="13" max="13" width="14.625" customWidth="1"/>
    <col min="14" max="14" width="13.625" customWidth="1"/>
    <col min="15" max="15" width="1.75" customWidth="1"/>
  </cols>
  <sheetData>
    <row r="1" spans="2:37" ht="3.75" customHeight="1"/>
    <row r="2" spans="2:37" ht="15" customHeight="1">
      <c r="B2" s="116"/>
      <c r="C2" s="117"/>
      <c r="D2" s="117"/>
      <c r="E2" s="117"/>
      <c r="F2" s="117"/>
      <c r="G2" s="264"/>
      <c r="H2" s="264"/>
      <c r="I2" s="264"/>
      <c r="J2" s="264"/>
      <c r="K2" s="117"/>
      <c r="L2" s="117"/>
      <c r="M2" s="117"/>
      <c r="N2" s="118"/>
    </row>
    <row r="3" spans="2:37" ht="15" customHeight="1">
      <c r="B3" s="119"/>
      <c r="C3" s="81"/>
      <c r="D3" s="81"/>
      <c r="E3" s="81"/>
      <c r="F3" s="81"/>
      <c r="G3" s="168"/>
      <c r="H3" s="168"/>
      <c r="I3" s="168"/>
      <c r="J3" s="168"/>
      <c r="K3" s="81"/>
      <c r="L3" s="81"/>
      <c r="M3" s="81"/>
      <c r="N3" s="120"/>
    </row>
    <row r="4" spans="2:37" ht="20.100000000000001" customHeight="1">
      <c r="B4" s="119"/>
      <c r="C4" s="81"/>
      <c r="D4" s="81"/>
      <c r="E4" s="81"/>
      <c r="F4" s="81"/>
      <c r="G4" s="259" t="s">
        <v>881</v>
      </c>
      <c r="H4" s="259"/>
      <c r="I4" s="259"/>
      <c r="J4" s="259"/>
      <c r="K4" s="81"/>
      <c r="L4" s="81"/>
      <c r="M4" s="81"/>
      <c r="N4" s="120"/>
    </row>
    <row r="5" spans="2:37" ht="15" customHeight="1">
      <c r="B5" s="119"/>
      <c r="C5" s="81"/>
      <c r="D5" s="81"/>
      <c r="E5" s="81"/>
      <c r="F5" s="81"/>
      <c r="G5" s="253" t="s">
        <v>1100</v>
      </c>
      <c r="H5" s="253"/>
      <c r="I5" s="253"/>
      <c r="J5" s="253"/>
      <c r="K5" s="83"/>
      <c r="L5" s="82"/>
      <c r="M5" s="81"/>
      <c r="N5" s="120"/>
    </row>
    <row r="6" spans="2:37" s="88" customFormat="1" ht="15" customHeight="1">
      <c r="B6" s="121"/>
      <c r="C6" s="100"/>
      <c r="D6" s="89"/>
      <c r="E6" s="89"/>
      <c r="F6" s="89"/>
      <c r="G6" s="90"/>
      <c r="H6" s="90"/>
      <c r="I6" s="90"/>
      <c r="J6" s="90"/>
      <c r="K6" s="91"/>
      <c r="L6" s="92"/>
      <c r="M6" s="89"/>
      <c r="N6" s="122"/>
    </row>
    <row r="7" spans="2:37">
      <c r="B7" s="216" t="s">
        <v>936</v>
      </c>
      <c r="C7" s="80"/>
      <c r="D7" s="80"/>
      <c r="E7" s="80"/>
      <c r="F7" s="80"/>
      <c r="G7" s="80"/>
      <c r="H7" s="170"/>
      <c r="I7" s="80"/>
      <c r="J7" s="80"/>
      <c r="K7" s="80"/>
      <c r="L7" s="80"/>
      <c r="M7" s="80"/>
      <c r="N7" s="123"/>
    </row>
    <row r="8" spans="2:37" ht="15" thickBot="1">
      <c r="B8" s="124"/>
      <c r="C8" s="80"/>
      <c r="D8" s="80"/>
      <c r="E8" s="80"/>
      <c r="F8" s="80"/>
      <c r="G8" s="80"/>
      <c r="H8" s="80"/>
      <c r="I8" s="80"/>
      <c r="J8" s="80"/>
      <c r="K8" s="80"/>
      <c r="L8" s="80"/>
      <c r="M8" s="80"/>
      <c r="N8" s="123"/>
    </row>
    <row r="9" spans="2:37" ht="45">
      <c r="B9" s="125" t="s">
        <v>1101</v>
      </c>
      <c r="C9" s="84" t="s">
        <v>1102</v>
      </c>
      <c r="D9" s="84" t="s">
        <v>1103</v>
      </c>
      <c r="E9" s="85" t="s">
        <v>1104</v>
      </c>
      <c r="F9" s="86" t="s">
        <v>1105</v>
      </c>
      <c r="G9" s="87" t="s">
        <v>1106</v>
      </c>
      <c r="H9" s="87" t="s">
        <v>1107</v>
      </c>
      <c r="I9" s="87" t="s">
        <v>1108</v>
      </c>
      <c r="J9" s="87" t="s">
        <v>1109</v>
      </c>
      <c r="K9" s="87" t="s">
        <v>1110</v>
      </c>
      <c r="L9" s="87" t="s">
        <v>1111</v>
      </c>
      <c r="M9" s="87" t="s">
        <v>1112</v>
      </c>
      <c r="N9" s="126" t="s">
        <v>1113</v>
      </c>
      <c r="AK9" t="s">
        <v>71</v>
      </c>
    </row>
    <row r="10" spans="2:37" hidden="1">
      <c r="B10" s="165"/>
      <c r="C10" s="162"/>
      <c r="D10" s="162"/>
      <c r="E10" s="191"/>
      <c r="F10" s="191"/>
      <c r="G10" s="189"/>
      <c r="H10" s="189"/>
      <c r="I10" s="189"/>
      <c r="J10" s="189"/>
      <c r="K10" s="189"/>
      <c r="L10" s="189"/>
      <c r="M10" s="29"/>
      <c r="N10" s="171"/>
    </row>
    <row r="11" spans="2:37" hidden="1">
      <c r="B11" s="166"/>
      <c r="C11" s="163"/>
      <c r="D11" s="163"/>
      <c r="E11" s="192"/>
      <c r="F11" s="192"/>
      <c r="G11" s="190"/>
      <c r="H11" s="190"/>
      <c r="I11" s="190"/>
      <c r="J11" s="190"/>
      <c r="K11" s="190"/>
      <c r="L11" s="190"/>
      <c r="M11" s="26"/>
      <c r="N11" s="172"/>
    </row>
    <row r="12" spans="2:37" hidden="1">
      <c r="B12" s="165"/>
      <c r="C12" s="162"/>
      <c r="D12" s="162"/>
      <c r="E12" s="191"/>
      <c r="F12" s="191"/>
      <c r="G12" s="189"/>
      <c r="H12" s="189"/>
      <c r="I12" s="189"/>
      <c r="J12" s="189"/>
      <c r="K12" s="189"/>
      <c r="L12" s="189"/>
      <c r="M12" s="29"/>
      <c r="N12" s="171"/>
    </row>
    <row r="13" spans="2:37" hidden="1">
      <c r="B13" s="166"/>
      <c r="C13" s="163"/>
      <c r="D13" s="163"/>
      <c r="E13" s="192"/>
      <c r="F13" s="192"/>
      <c r="G13" s="190"/>
      <c r="H13" s="190"/>
      <c r="I13" s="190"/>
      <c r="J13" s="190"/>
      <c r="K13" s="190"/>
      <c r="L13" s="190"/>
      <c r="M13" s="26"/>
      <c r="N13" s="172"/>
    </row>
    <row r="14" spans="2:37" hidden="1">
      <c r="B14" s="165"/>
      <c r="C14" s="162"/>
      <c r="D14" s="162"/>
      <c r="E14" s="191"/>
      <c r="F14" s="191"/>
      <c r="G14" s="189"/>
      <c r="H14" s="189"/>
      <c r="I14" s="189"/>
      <c r="J14" s="189"/>
      <c r="K14" s="189"/>
      <c r="L14" s="189"/>
      <c r="M14" s="29"/>
      <c r="N14" s="171"/>
    </row>
    <row r="15" spans="2:37" hidden="1">
      <c r="B15" s="166"/>
      <c r="C15" s="163"/>
      <c r="D15" s="163"/>
      <c r="E15" s="192"/>
      <c r="F15" s="192"/>
      <c r="G15" s="190"/>
      <c r="H15" s="190"/>
      <c r="I15" s="190"/>
      <c r="J15" s="190"/>
      <c r="K15" s="190"/>
      <c r="L15" s="190"/>
      <c r="M15" s="26"/>
      <c r="N15" s="172"/>
    </row>
    <row r="16" spans="2:37" hidden="1">
      <c r="B16" s="165"/>
      <c r="C16" s="162"/>
      <c r="D16" s="162"/>
      <c r="E16" s="191"/>
      <c r="F16" s="191"/>
      <c r="G16" s="189"/>
      <c r="H16" s="189"/>
      <c r="I16" s="189"/>
      <c r="J16" s="189"/>
      <c r="K16" s="189"/>
      <c r="L16" s="189"/>
      <c r="M16" s="29"/>
      <c r="N16" s="171"/>
    </row>
    <row r="17" spans="2:14" hidden="1">
      <c r="B17" s="166"/>
      <c r="C17" s="163"/>
      <c r="D17" s="163"/>
      <c r="E17" s="192"/>
      <c r="F17" s="192"/>
      <c r="G17" s="190"/>
      <c r="H17" s="190"/>
      <c r="I17" s="190"/>
      <c r="J17" s="190"/>
      <c r="K17" s="190"/>
      <c r="L17" s="190"/>
      <c r="M17" s="26"/>
      <c r="N17" s="172"/>
    </row>
    <row r="18" spans="2:14" hidden="1">
      <c r="B18" s="165"/>
      <c r="C18" s="162"/>
      <c r="D18" s="162"/>
      <c r="E18" s="191"/>
      <c r="F18" s="191"/>
      <c r="G18" s="189"/>
      <c r="H18" s="189"/>
      <c r="I18" s="189"/>
      <c r="J18" s="189"/>
      <c r="K18" s="189"/>
      <c r="L18" s="189"/>
      <c r="M18" s="29"/>
      <c r="N18" s="171"/>
    </row>
    <row r="19" spans="2:14" hidden="1">
      <c r="B19" s="166"/>
      <c r="C19" s="163"/>
      <c r="D19" s="163"/>
      <c r="E19" s="192"/>
      <c r="F19" s="192"/>
      <c r="G19" s="190"/>
      <c r="H19" s="190"/>
      <c r="I19" s="190"/>
      <c r="J19" s="190"/>
      <c r="K19" s="190"/>
      <c r="L19" s="190"/>
      <c r="M19" s="26"/>
      <c r="N19" s="172"/>
    </row>
    <row r="20" spans="2:14" hidden="1">
      <c r="B20" s="165"/>
      <c r="C20" s="162"/>
      <c r="D20" s="162"/>
      <c r="E20" s="191"/>
      <c r="F20" s="191"/>
      <c r="G20" s="189"/>
      <c r="H20" s="189"/>
      <c r="I20" s="189"/>
      <c r="J20" s="189"/>
      <c r="K20" s="189"/>
      <c r="L20" s="189"/>
      <c r="M20" s="29"/>
      <c r="N20" s="171"/>
    </row>
    <row r="21" spans="2:14" hidden="1">
      <c r="B21" s="166"/>
      <c r="C21" s="163"/>
      <c r="D21" s="163"/>
      <c r="E21" s="192"/>
      <c r="F21" s="192"/>
      <c r="G21" s="190"/>
      <c r="H21" s="190"/>
      <c r="I21" s="190"/>
      <c r="J21" s="190"/>
      <c r="K21" s="190"/>
      <c r="L21" s="190"/>
      <c r="M21" s="26"/>
      <c r="N21" s="172"/>
    </row>
    <row r="22" spans="2:14" hidden="1">
      <c r="B22" s="165"/>
      <c r="C22" s="162"/>
      <c r="D22" s="162"/>
      <c r="E22" s="191"/>
      <c r="F22" s="191"/>
      <c r="G22" s="189"/>
      <c r="H22" s="189"/>
      <c r="I22" s="189"/>
      <c r="J22" s="189"/>
      <c r="K22" s="189"/>
      <c r="L22" s="189"/>
      <c r="M22" s="29"/>
      <c r="N22" s="171"/>
    </row>
    <row r="23" spans="2:14" hidden="1">
      <c r="B23" s="166"/>
      <c r="C23" s="163"/>
      <c r="D23" s="163"/>
      <c r="E23" s="192"/>
      <c r="F23" s="192"/>
      <c r="G23" s="190"/>
      <c r="H23" s="190"/>
      <c r="I23" s="190"/>
      <c r="J23" s="190"/>
      <c r="K23" s="190"/>
      <c r="L23" s="190"/>
      <c r="M23" s="26"/>
      <c r="N23" s="172"/>
    </row>
    <row r="24" spans="2:14" hidden="1">
      <c r="B24" s="165"/>
      <c r="C24" s="162"/>
      <c r="D24" s="162"/>
      <c r="E24" s="191"/>
      <c r="F24" s="191"/>
      <c r="G24" s="189"/>
      <c r="H24" s="189"/>
      <c r="I24" s="189"/>
      <c r="J24" s="189"/>
      <c r="K24" s="189"/>
      <c r="L24" s="189"/>
      <c r="M24" s="29"/>
      <c r="N24" s="171"/>
    </row>
    <row r="25" spans="2:14" hidden="1">
      <c r="B25" s="166"/>
      <c r="C25" s="163"/>
      <c r="D25" s="163"/>
      <c r="E25" s="192"/>
      <c r="F25" s="192"/>
      <c r="G25" s="190"/>
      <c r="H25" s="190"/>
      <c r="I25" s="190"/>
      <c r="J25" s="190"/>
      <c r="K25" s="190"/>
      <c r="L25" s="190"/>
      <c r="M25" s="26"/>
      <c r="N25" s="172"/>
    </row>
    <row r="26" spans="2:14" hidden="1">
      <c r="B26" s="165"/>
      <c r="C26" s="162"/>
      <c r="D26" s="162"/>
      <c r="E26" s="191"/>
      <c r="F26" s="191"/>
      <c r="G26" s="189"/>
      <c r="H26" s="189"/>
      <c r="I26" s="189"/>
      <c r="J26" s="189"/>
      <c r="K26" s="189"/>
      <c r="L26" s="189"/>
      <c r="M26" s="29"/>
      <c r="N26" s="171"/>
    </row>
    <row r="27" spans="2:14" hidden="1">
      <c r="B27" s="166"/>
      <c r="C27" s="163"/>
      <c r="D27" s="163"/>
      <c r="E27" s="192"/>
      <c r="F27" s="192"/>
      <c r="G27" s="190"/>
      <c r="H27" s="190"/>
      <c r="I27" s="190"/>
      <c r="J27" s="190"/>
      <c r="K27" s="190"/>
      <c r="L27" s="190"/>
      <c r="M27" s="26"/>
      <c r="N27" s="172"/>
    </row>
    <row r="28" spans="2:14" hidden="1">
      <c r="B28" s="165"/>
      <c r="C28" s="162"/>
      <c r="D28" s="162"/>
      <c r="E28" s="191"/>
      <c r="F28" s="191"/>
      <c r="G28" s="189"/>
      <c r="H28" s="189"/>
      <c r="I28" s="189"/>
      <c r="J28" s="189"/>
      <c r="K28" s="189"/>
      <c r="L28" s="189"/>
      <c r="M28" s="29"/>
      <c r="N28" s="171"/>
    </row>
    <row r="29" spans="2:14" hidden="1">
      <c r="B29" s="166"/>
      <c r="C29" s="163"/>
      <c r="D29" s="163"/>
      <c r="E29" s="192"/>
      <c r="F29" s="192"/>
      <c r="G29" s="190"/>
      <c r="H29" s="190"/>
      <c r="I29" s="190"/>
      <c r="J29" s="190"/>
      <c r="K29" s="190"/>
      <c r="L29" s="190"/>
      <c r="M29" s="26"/>
      <c r="N29" s="172"/>
    </row>
    <row r="30" spans="2:14" hidden="1">
      <c r="B30" s="165"/>
      <c r="C30" s="162"/>
      <c r="D30" s="162"/>
      <c r="E30" s="191"/>
      <c r="F30" s="191"/>
      <c r="G30" s="189"/>
      <c r="H30" s="189"/>
      <c r="I30" s="189"/>
      <c r="J30" s="189"/>
      <c r="K30" s="189"/>
      <c r="L30" s="189"/>
      <c r="M30" s="29"/>
      <c r="N30" s="171"/>
    </row>
    <row r="31" spans="2:14" hidden="1">
      <c r="B31" s="166"/>
      <c r="C31" s="163"/>
      <c r="D31" s="163"/>
      <c r="E31" s="192"/>
      <c r="F31" s="192"/>
      <c r="G31" s="190"/>
      <c r="H31" s="190"/>
      <c r="I31" s="190"/>
      <c r="J31" s="190"/>
      <c r="K31" s="190"/>
      <c r="L31" s="190"/>
      <c r="M31" s="26"/>
      <c r="N31" s="172"/>
    </row>
    <row r="32" spans="2:14" hidden="1">
      <c r="B32" s="165"/>
      <c r="C32" s="162"/>
      <c r="D32" s="162"/>
      <c r="E32" s="191"/>
      <c r="F32" s="191"/>
      <c r="G32" s="189"/>
      <c r="H32" s="189"/>
      <c r="I32" s="189"/>
      <c r="J32" s="189"/>
      <c r="K32" s="189"/>
      <c r="L32" s="189"/>
      <c r="M32" s="29"/>
      <c r="N32" s="171"/>
    </row>
    <row r="33" spans="2:14" hidden="1">
      <c r="B33" s="166"/>
      <c r="C33" s="163"/>
      <c r="D33" s="163"/>
      <c r="E33" s="192"/>
      <c r="F33" s="192"/>
      <c r="G33" s="190"/>
      <c r="H33" s="190"/>
      <c r="I33" s="190"/>
      <c r="J33" s="190"/>
      <c r="K33" s="190"/>
      <c r="L33" s="190"/>
      <c r="M33" s="26"/>
      <c r="N33" s="172"/>
    </row>
    <row r="34" spans="2:14" hidden="1">
      <c r="B34" s="165"/>
      <c r="C34" s="162"/>
      <c r="D34" s="162"/>
      <c r="E34" s="191"/>
      <c r="F34" s="191"/>
      <c r="G34" s="189"/>
      <c r="H34" s="189"/>
      <c r="I34" s="189"/>
      <c r="J34" s="189"/>
      <c r="K34" s="189"/>
      <c r="L34" s="189"/>
      <c r="M34" s="29"/>
      <c r="N34" s="171"/>
    </row>
    <row r="35" spans="2:14" hidden="1">
      <c r="B35" s="166"/>
      <c r="C35" s="163"/>
      <c r="D35" s="163"/>
      <c r="E35" s="192"/>
      <c r="F35" s="192"/>
      <c r="G35" s="190"/>
      <c r="H35" s="190"/>
      <c r="I35" s="190"/>
      <c r="J35" s="190"/>
      <c r="K35" s="190"/>
      <c r="L35" s="190"/>
      <c r="M35" s="26"/>
      <c r="N35" s="172"/>
    </row>
    <row r="36" spans="2:14" hidden="1">
      <c r="B36" s="165"/>
      <c r="C36" s="162"/>
      <c r="D36" s="162"/>
      <c r="E36" s="191"/>
      <c r="F36" s="191"/>
      <c r="G36" s="189"/>
      <c r="H36" s="189"/>
      <c r="I36" s="189"/>
      <c r="J36" s="189"/>
      <c r="K36" s="189"/>
      <c r="L36" s="189"/>
      <c r="M36" s="29"/>
      <c r="N36" s="171"/>
    </row>
    <row r="37" spans="2:14" hidden="1">
      <c r="B37" s="166"/>
      <c r="C37" s="163"/>
      <c r="D37" s="163"/>
      <c r="E37" s="192"/>
      <c r="F37" s="192"/>
      <c r="G37" s="190"/>
      <c r="H37" s="190"/>
      <c r="I37" s="190"/>
      <c r="J37" s="190"/>
      <c r="K37" s="190"/>
      <c r="L37" s="190"/>
      <c r="M37" s="26"/>
      <c r="N37" s="172"/>
    </row>
    <row r="38" spans="2:14" hidden="1">
      <c r="B38" s="165"/>
      <c r="C38" s="162"/>
      <c r="D38" s="162"/>
      <c r="E38" s="191"/>
      <c r="F38" s="191"/>
      <c r="G38" s="189"/>
      <c r="H38" s="189"/>
      <c r="I38" s="189"/>
      <c r="J38" s="189"/>
      <c r="K38" s="189"/>
      <c r="L38" s="189"/>
      <c r="M38" s="29"/>
      <c r="N38" s="171"/>
    </row>
    <row r="39" spans="2:14" hidden="1">
      <c r="B39" s="166"/>
      <c r="C39" s="163"/>
      <c r="D39" s="163"/>
      <c r="E39" s="192"/>
      <c r="F39" s="192"/>
      <c r="G39" s="190"/>
      <c r="H39" s="190"/>
      <c r="I39" s="190"/>
      <c r="J39" s="190"/>
      <c r="K39" s="190"/>
      <c r="L39" s="190"/>
      <c r="M39" s="26"/>
      <c r="N39" s="172"/>
    </row>
    <row r="40" spans="2:14" hidden="1">
      <c r="B40" s="165"/>
      <c r="C40" s="162"/>
      <c r="D40" s="162"/>
      <c r="E40" s="191"/>
      <c r="F40" s="191"/>
      <c r="G40" s="189"/>
      <c r="H40" s="189"/>
      <c r="I40" s="189"/>
      <c r="J40" s="189"/>
      <c r="K40" s="189"/>
      <c r="L40" s="189"/>
      <c r="M40" s="29"/>
      <c r="N40" s="171"/>
    </row>
    <row r="41" spans="2:14" hidden="1">
      <c r="B41" s="166"/>
      <c r="C41" s="163"/>
      <c r="D41" s="163"/>
      <c r="E41" s="192"/>
      <c r="F41" s="192"/>
      <c r="G41" s="190"/>
      <c r="H41" s="190"/>
      <c r="I41" s="190"/>
      <c r="J41" s="190"/>
      <c r="K41" s="190"/>
      <c r="L41" s="190"/>
      <c r="M41" s="26"/>
      <c r="N41" s="172"/>
    </row>
    <row r="42" spans="2:14" hidden="1">
      <c r="B42" s="165"/>
      <c r="C42" s="162"/>
      <c r="D42" s="162"/>
      <c r="E42" s="191"/>
      <c r="F42" s="191"/>
      <c r="G42" s="189"/>
      <c r="H42" s="189"/>
      <c r="I42" s="189"/>
      <c r="J42" s="189"/>
      <c r="K42" s="189"/>
      <c r="L42" s="189"/>
      <c r="M42" s="29"/>
      <c r="N42" s="171"/>
    </row>
    <row r="43" spans="2:14" hidden="1">
      <c r="B43" s="166"/>
      <c r="C43" s="163"/>
      <c r="D43" s="163"/>
      <c r="E43" s="192"/>
      <c r="F43" s="192"/>
      <c r="G43" s="190"/>
      <c r="H43" s="190"/>
      <c r="I43" s="190"/>
      <c r="J43" s="190"/>
      <c r="K43" s="190"/>
      <c r="L43" s="190"/>
      <c r="M43" s="26"/>
      <c r="N43" s="172"/>
    </row>
    <row r="44" spans="2:14" hidden="1">
      <c r="B44" s="165"/>
      <c r="C44" s="162"/>
      <c r="D44" s="162"/>
      <c r="E44" s="191"/>
      <c r="F44" s="191"/>
      <c r="G44" s="189"/>
      <c r="H44" s="189"/>
      <c r="I44" s="189"/>
      <c r="J44" s="189"/>
      <c r="K44" s="189"/>
      <c r="L44" s="189"/>
      <c r="M44" s="29"/>
      <c r="N44" s="171"/>
    </row>
    <row r="45" spans="2:14" hidden="1">
      <c r="B45" s="166"/>
      <c r="C45" s="163"/>
      <c r="D45" s="163"/>
      <c r="E45" s="192"/>
      <c r="F45" s="192"/>
      <c r="G45" s="190"/>
      <c r="H45" s="190"/>
      <c r="I45" s="190"/>
      <c r="J45" s="190"/>
      <c r="K45" s="190"/>
      <c r="L45" s="190"/>
      <c r="M45" s="26"/>
      <c r="N45" s="172"/>
    </row>
    <row r="46" spans="2:14" hidden="1">
      <c r="B46" s="165"/>
      <c r="C46" s="162"/>
      <c r="D46" s="162"/>
      <c r="E46" s="191"/>
      <c r="F46" s="191"/>
      <c r="G46" s="189"/>
      <c r="H46" s="189"/>
      <c r="I46" s="189"/>
      <c r="J46" s="189"/>
      <c r="K46" s="189"/>
      <c r="L46" s="189"/>
      <c r="M46" s="29"/>
      <c r="N46" s="171"/>
    </row>
    <row r="47" spans="2:14" hidden="1">
      <c r="B47" s="166"/>
      <c r="C47" s="163"/>
      <c r="D47" s="163"/>
      <c r="E47" s="192"/>
      <c r="F47" s="192"/>
      <c r="G47" s="190"/>
      <c r="H47" s="190"/>
      <c r="I47" s="190"/>
      <c r="J47" s="190"/>
      <c r="K47" s="190"/>
      <c r="L47" s="190"/>
      <c r="M47" s="26"/>
      <c r="N47" s="172"/>
    </row>
    <row r="48" spans="2:14" hidden="1">
      <c r="B48" s="165"/>
      <c r="C48" s="162"/>
      <c r="D48" s="162"/>
      <c r="E48" s="191"/>
      <c r="F48" s="191"/>
      <c r="G48" s="189"/>
      <c r="H48" s="189"/>
      <c r="I48" s="189"/>
      <c r="J48" s="189"/>
      <c r="K48" s="189"/>
      <c r="L48" s="189"/>
      <c r="M48" s="29"/>
      <c r="N48" s="171"/>
    </row>
    <row r="49" spans="2:14" hidden="1">
      <c r="B49" s="166"/>
      <c r="C49" s="163"/>
      <c r="D49" s="163"/>
      <c r="E49" s="192"/>
      <c r="F49" s="192"/>
      <c r="G49" s="190"/>
      <c r="H49" s="190"/>
      <c r="I49" s="190"/>
      <c r="J49" s="190"/>
      <c r="K49" s="190"/>
      <c r="L49" s="190"/>
      <c r="M49" s="26"/>
      <c r="N49" s="172"/>
    </row>
    <row r="50" spans="2:14" hidden="1">
      <c r="B50" s="165"/>
      <c r="C50" s="162"/>
      <c r="D50" s="162"/>
      <c r="E50" s="191"/>
      <c r="F50" s="191"/>
      <c r="G50" s="189"/>
      <c r="H50" s="189"/>
      <c r="I50" s="189"/>
      <c r="J50" s="189"/>
      <c r="K50" s="189"/>
      <c r="L50" s="189"/>
      <c r="M50" s="29"/>
      <c r="N50" s="171"/>
    </row>
    <row r="51" spans="2:14" hidden="1">
      <c r="B51" s="166"/>
      <c r="C51" s="163"/>
      <c r="D51" s="163"/>
      <c r="E51" s="192"/>
      <c r="F51" s="192"/>
      <c r="G51" s="190"/>
      <c r="H51" s="190"/>
      <c r="I51" s="190"/>
      <c r="J51" s="190"/>
      <c r="K51" s="190"/>
      <c r="L51" s="190"/>
      <c r="M51" s="26"/>
      <c r="N51" s="172"/>
    </row>
    <row r="52" spans="2:14" hidden="1">
      <c r="B52" s="165"/>
      <c r="C52" s="162"/>
      <c r="D52" s="162"/>
      <c r="E52" s="191"/>
      <c r="F52" s="191"/>
      <c r="G52" s="189"/>
      <c r="H52" s="189"/>
      <c r="I52" s="189"/>
      <c r="J52" s="189"/>
      <c r="K52" s="189"/>
      <c r="L52" s="189"/>
      <c r="M52" s="29"/>
      <c r="N52" s="171"/>
    </row>
    <row r="53" spans="2:14" hidden="1">
      <c r="B53" s="166"/>
      <c r="C53" s="163"/>
      <c r="D53" s="163"/>
      <c r="E53" s="192"/>
      <c r="F53" s="192"/>
      <c r="G53" s="190"/>
      <c r="H53" s="190"/>
      <c r="I53" s="190"/>
      <c r="J53" s="190"/>
      <c r="K53" s="190"/>
      <c r="L53" s="190"/>
      <c r="M53" s="26"/>
      <c r="N53" s="172"/>
    </row>
    <row r="54" spans="2:14" hidden="1">
      <c r="B54" s="165"/>
      <c r="C54" s="162"/>
      <c r="D54" s="162"/>
      <c r="E54" s="191"/>
      <c r="F54" s="191"/>
      <c r="G54" s="189"/>
      <c r="H54" s="189"/>
      <c r="I54" s="189"/>
      <c r="J54" s="189"/>
      <c r="K54" s="189"/>
      <c r="L54" s="189"/>
      <c r="M54" s="29"/>
      <c r="N54" s="171"/>
    </row>
    <row r="55" spans="2:14" hidden="1">
      <c r="B55" s="166"/>
      <c r="C55" s="163"/>
      <c r="D55" s="163"/>
      <c r="E55" s="192"/>
      <c r="F55" s="192"/>
      <c r="G55" s="190"/>
      <c r="H55" s="190"/>
      <c r="I55" s="190"/>
      <c r="J55" s="190"/>
      <c r="K55" s="190"/>
      <c r="L55" s="190"/>
      <c r="M55" s="26"/>
      <c r="N55" s="172"/>
    </row>
    <row r="56" spans="2:14" hidden="1">
      <c r="B56" s="165"/>
      <c r="C56" s="162"/>
      <c r="D56" s="162"/>
      <c r="E56" s="191"/>
      <c r="F56" s="191"/>
      <c r="G56" s="189"/>
      <c r="H56" s="189"/>
      <c r="I56" s="189"/>
      <c r="J56" s="189"/>
      <c r="K56" s="189"/>
      <c r="L56" s="189"/>
      <c r="M56" s="29"/>
      <c r="N56" s="171"/>
    </row>
    <row r="57" spans="2:14" hidden="1">
      <c r="B57" s="166"/>
      <c r="C57" s="163"/>
      <c r="D57" s="163"/>
      <c r="E57" s="192"/>
      <c r="F57" s="192"/>
      <c r="G57" s="190"/>
      <c r="H57" s="190"/>
      <c r="I57" s="190"/>
      <c r="J57" s="190"/>
      <c r="K57" s="190"/>
      <c r="L57" s="190"/>
      <c r="M57" s="26"/>
      <c r="N57" s="172"/>
    </row>
    <row r="58" spans="2:14" hidden="1">
      <c r="B58" s="165"/>
      <c r="C58" s="162"/>
      <c r="D58" s="162"/>
      <c r="E58" s="191"/>
      <c r="F58" s="191"/>
      <c r="G58" s="189"/>
      <c r="H58" s="189"/>
      <c r="I58" s="189"/>
      <c r="J58" s="189"/>
      <c r="K58" s="189"/>
      <c r="L58" s="189"/>
      <c r="M58" s="29"/>
      <c r="N58" s="171"/>
    </row>
    <row r="59" spans="2:14" hidden="1">
      <c r="B59" s="166"/>
      <c r="C59" s="163"/>
      <c r="D59" s="163"/>
      <c r="E59" s="192"/>
      <c r="F59" s="192"/>
      <c r="G59" s="190"/>
      <c r="H59" s="190"/>
      <c r="I59" s="190"/>
      <c r="J59" s="190"/>
      <c r="K59" s="190"/>
      <c r="L59" s="190"/>
      <c r="M59" s="26"/>
      <c r="N59" s="172"/>
    </row>
    <row r="60" spans="2:14" hidden="1">
      <c r="B60" s="165"/>
      <c r="C60" s="162"/>
      <c r="D60" s="162"/>
      <c r="E60" s="191"/>
      <c r="F60" s="191"/>
      <c r="G60" s="189"/>
      <c r="H60" s="189"/>
      <c r="I60" s="189"/>
      <c r="J60" s="189"/>
      <c r="K60" s="189"/>
      <c r="L60" s="189"/>
      <c r="M60" s="29"/>
      <c r="N60" s="171"/>
    </row>
    <row r="61" spans="2:14" hidden="1">
      <c r="B61" s="166"/>
      <c r="C61" s="163"/>
      <c r="D61" s="163"/>
      <c r="E61" s="192"/>
      <c r="F61" s="192"/>
      <c r="G61" s="190"/>
      <c r="H61" s="190"/>
      <c r="I61" s="190"/>
      <c r="J61" s="190"/>
      <c r="K61" s="190"/>
      <c r="L61" s="190"/>
      <c r="M61" s="26"/>
      <c r="N61" s="172"/>
    </row>
    <row r="62" spans="2:14" hidden="1">
      <c r="B62" s="165"/>
      <c r="C62" s="162"/>
      <c r="D62" s="162"/>
      <c r="E62" s="191"/>
      <c r="F62" s="191"/>
      <c r="G62" s="189"/>
      <c r="H62" s="189"/>
      <c r="I62" s="189"/>
      <c r="J62" s="189"/>
      <c r="K62" s="189"/>
      <c r="L62" s="189"/>
      <c r="M62" s="29"/>
      <c r="N62" s="171"/>
    </row>
    <row r="63" spans="2:14" hidden="1">
      <c r="B63" s="166"/>
      <c r="C63" s="163"/>
      <c r="D63" s="163"/>
      <c r="E63" s="192"/>
      <c r="F63" s="192"/>
      <c r="G63" s="190"/>
      <c r="H63" s="190"/>
      <c r="I63" s="190"/>
      <c r="J63" s="190"/>
      <c r="K63" s="190"/>
      <c r="L63" s="190"/>
      <c r="M63" s="26"/>
      <c r="N63" s="172"/>
    </row>
    <row r="64" spans="2:14" hidden="1">
      <c r="B64" s="165"/>
      <c r="C64" s="162"/>
      <c r="D64" s="162"/>
      <c r="E64" s="191"/>
      <c r="F64" s="191"/>
      <c r="G64" s="189"/>
      <c r="H64" s="189"/>
      <c r="I64" s="189"/>
      <c r="J64" s="189"/>
      <c r="K64" s="189"/>
      <c r="L64" s="189"/>
      <c r="M64" s="29"/>
      <c r="N64" s="171"/>
    </row>
    <row r="65" spans="2:14" hidden="1">
      <c r="B65" s="166"/>
      <c r="C65" s="163"/>
      <c r="D65" s="163"/>
      <c r="E65" s="192"/>
      <c r="F65" s="192"/>
      <c r="G65" s="190"/>
      <c r="H65" s="190"/>
      <c r="I65" s="190"/>
      <c r="J65" s="190"/>
      <c r="K65" s="190"/>
      <c r="L65" s="190"/>
      <c r="M65" s="26"/>
      <c r="N65" s="172"/>
    </row>
    <row r="66" spans="2:14" hidden="1">
      <c r="B66" s="165"/>
      <c r="C66" s="162"/>
      <c r="D66" s="162"/>
      <c r="E66" s="191"/>
      <c r="F66" s="191"/>
      <c r="G66" s="189"/>
      <c r="H66" s="189"/>
      <c r="I66" s="189"/>
      <c r="J66" s="189"/>
      <c r="K66" s="189"/>
      <c r="L66" s="189"/>
      <c r="M66" s="29"/>
      <c r="N66" s="171"/>
    </row>
    <row r="67" spans="2:14" hidden="1">
      <c r="B67" s="166"/>
      <c r="C67" s="163"/>
      <c r="D67" s="163"/>
      <c r="E67" s="192"/>
      <c r="F67" s="192"/>
      <c r="G67" s="190"/>
      <c r="H67" s="190"/>
      <c r="I67" s="190"/>
      <c r="J67" s="190"/>
      <c r="K67" s="190"/>
      <c r="L67" s="190"/>
      <c r="M67" s="26"/>
      <c r="N67" s="172"/>
    </row>
    <row r="68" spans="2:14" hidden="1">
      <c r="B68" s="165"/>
      <c r="C68" s="162"/>
      <c r="D68" s="162"/>
      <c r="E68" s="191"/>
      <c r="F68" s="191"/>
      <c r="G68" s="189"/>
      <c r="H68" s="189"/>
      <c r="I68" s="189"/>
      <c r="J68" s="189"/>
      <c r="K68" s="189"/>
      <c r="L68" s="189"/>
      <c r="M68" s="29"/>
      <c r="N68" s="171"/>
    </row>
    <row r="69" spans="2:14" hidden="1">
      <c r="B69" s="166"/>
      <c r="C69" s="163"/>
      <c r="D69" s="163"/>
      <c r="E69" s="192"/>
      <c r="F69" s="192"/>
      <c r="G69" s="190"/>
      <c r="H69" s="190"/>
      <c r="I69" s="190"/>
      <c r="J69" s="190"/>
      <c r="K69" s="190"/>
      <c r="L69" s="190"/>
      <c r="M69" s="26"/>
      <c r="N69" s="172"/>
    </row>
    <row r="70" spans="2:14" hidden="1">
      <c r="B70" s="165"/>
      <c r="C70" s="162"/>
      <c r="D70" s="162"/>
      <c r="E70" s="191"/>
      <c r="F70" s="191"/>
      <c r="G70" s="189"/>
      <c r="H70" s="189"/>
      <c r="I70" s="189"/>
      <c r="J70" s="189"/>
      <c r="K70" s="189"/>
      <c r="L70" s="189"/>
      <c r="M70" s="29"/>
      <c r="N70" s="171"/>
    </row>
    <row r="71" spans="2:14" hidden="1">
      <c r="B71" s="166"/>
      <c r="C71" s="163"/>
      <c r="D71" s="163"/>
      <c r="E71" s="192"/>
      <c r="F71" s="192"/>
      <c r="G71" s="190"/>
      <c r="H71" s="190"/>
      <c r="I71" s="190"/>
      <c r="J71" s="190"/>
      <c r="K71" s="190"/>
      <c r="L71" s="190"/>
      <c r="M71" s="26"/>
      <c r="N71" s="172"/>
    </row>
    <row r="72" spans="2:14" hidden="1">
      <c r="B72" s="165"/>
      <c r="C72" s="162"/>
      <c r="D72" s="162"/>
      <c r="E72" s="191"/>
      <c r="F72" s="191"/>
      <c r="G72" s="189"/>
      <c r="H72" s="189"/>
      <c r="I72" s="189"/>
      <c r="J72" s="189"/>
      <c r="K72" s="189"/>
      <c r="L72" s="189"/>
      <c r="M72" s="29"/>
      <c r="N72" s="171"/>
    </row>
    <row r="73" spans="2:14" hidden="1">
      <c r="B73" s="166"/>
      <c r="C73" s="163"/>
      <c r="D73" s="163"/>
      <c r="E73" s="192"/>
      <c r="F73" s="192"/>
      <c r="G73" s="190"/>
      <c r="H73" s="190"/>
      <c r="I73" s="190"/>
      <c r="J73" s="190"/>
      <c r="K73" s="190"/>
      <c r="L73" s="190"/>
      <c r="M73" s="26"/>
      <c r="N73" s="172"/>
    </row>
    <row r="74" spans="2:14" hidden="1">
      <c r="B74" s="165"/>
      <c r="C74" s="162"/>
      <c r="D74" s="162"/>
      <c r="E74" s="191"/>
      <c r="F74" s="191"/>
      <c r="G74" s="189"/>
      <c r="H74" s="189"/>
      <c r="I74" s="189"/>
      <c r="J74" s="189"/>
      <c r="K74" s="189"/>
      <c r="L74" s="189"/>
      <c r="M74" s="29"/>
      <c r="N74" s="171"/>
    </row>
    <row r="75" spans="2:14" hidden="1">
      <c r="B75" s="166"/>
      <c r="C75" s="163"/>
      <c r="D75" s="163"/>
      <c r="E75" s="192"/>
      <c r="F75" s="192"/>
      <c r="G75" s="190"/>
      <c r="H75" s="190"/>
      <c r="I75" s="190"/>
      <c r="J75" s="190"/>
      <c r="K75" s="190"/>
      <c r="L75" s="190"/>
      <c r="M75" s="26"/>
      <c r="N75" s="172"/>
    </row>
    <row r="76" spans="2:14" hidden="1">
      <c r="B76" s="165"/>
      <c r="C76" s="162"/>
      <c r="D76" s="162"/>
      <c r="E76" s="191"/>
      <c r="F76" s="191"/>
      <c r="G76" s="189"/>
      <c r="H76" s="189"/>
      <c r="I76" s="189"/>
      <c r="J76" s="189"/>
      <c r="K76" s="189"/>
      <c r="L76" s="189"/>
      <c r="M76" s="29"/>
      <c r="N76" s="171"/>
    </row>
    <row r="77" spans="2:14" hidden="1">
      <c r="B77" s="166"/>
      <c r="C77" s="163"/>
      <c r="D77" s="163"/>
      <c r="E77" s="192"/>
      <c r="F77" s="192"/>
      <c r="G77" s="190"/>
      <c r="H77" s="190"/>
      <c r="I77" s="190"/>
      <c r="J77" s="190"/>
      <c r="K77" s="190"/>
      <c r="L77" s="190"/>
      <c r="M77" s="26"/>
      <c r="N77" s="172"/>
    </row>
    <row r="78" spans="2:14" hidden="1">
      <c r="B78" s="165"/>
      <c r="C78" s="162"/>
      <c r="D78" s="162"/>
      <c r="E78" s="191"/>
      <c r="F78" s="191"/>
      <c r="G78" s="189"/>
      <c r="H78" s="189"/>
      <c r="I78" s="189"/>
      <c r="J78" s="189"/>
      <c r="K78" s="189"/>
      <c r="L78" s="189"/>
      <c r="M78" s="29"/>
      <c r="N78" s="171"/>
    </row>
    <row r="79" spans="2:14" hidden="1">
      <c r="B79" s="166"/>
      <c r="C79" s="163"/>
      <c r="D79" s="163"/>
      <c r="E79" s="192"/>
      <c r="F79" s="192"/>
      <c r="G79" s="190"/>
      <c r="H79" s="190"/>
      <c r="I79" s="190"/>
      <c r="J79" s="190"/>
      <c r="K79" s="190"/>
      <c r="L79" s="190"/>
      <c r="M79" s="26"/>
      <c r="N79" s="172"/>
    </row>
    <row r="80" spans="2:14" hidden="1">
      <c r="B80" s="165"/>
      <c r="C80" s="162"/>
      <c r="D80" s="162"/>
      <c r="E80" s="191"/>
      <c r="F80" s="191"/>
      <c r="G80" s="189"/>
      <c r="H80" s="189"/>
      <c r="I80" s="189"/>
      <c r="J80" s="189"/>
      <c r="K80" s="189"/>
      <c r="L80" s="189"/>
      <c r="M80" s="29"/>
      <c r="N80" s="171"/>
    </row>
    <row r="81" spans="2:14" hidden="1">
      <c r="B81" s="166"/>
      <c r="C81" s="163"/>
      <c r="D81" s="163"/>
      <c r="E81" s="192"/>
      <c r="F81" s="192"/>
      <c r="G81" s="190"/>
      <c r="H81" s="190"/>
      <c r="I81" s="190"/>
      <c r="J81" s="190"/>
      <c r="K81" s="190"/>
      <c r="L81" s="190"/>
      <c r="M81" s="26"/>
      <c r="N81" s="172"/>
    </row>
    <row r="82" spans="2:14" hidden="1">
      <c r="B82" s="165"/>
      <c r="C82" s="162"/>
      <c r="D82" s="162"/>
      <c r="E82" s="191"/>
      <c r="F82" s="191"/>
      <c r="G82" s="189"/>
      <c r="H82" s="189"/>
      <c r="I82" s="189"/>
      <c r="J82" s="189"/>
      <c r="K82" s="189"/>
      <c r="L82" s="189"/>
      <c r="M82" s="29"/>
      <c r="N82" s="171"/>
    </row>
    <row r="83" spans="2:14" hidden="1">
      <c r="B83" s="166"/>
      <c r="C83" s="163"/>
      <c r="D83" s="163"/>
      <c r="E83" s="192"/>
      <c r="F83" s="192"/>
      <c r="G83" s="190"/>
      <c r="H83" s="190"/>
      <c r="I83" s="190"/>
      <c r="J83" s="190"/>
      <c r="K83" s="190"/>
      <c r="L83" s="190"/>
      <c r="M83" s="26"/>
      <c r="N83" s="172"/>
    </row>
    <row r="84" spans="2:14" hidden="1">
      <c r="B84" s="165"/>
      <c r="C84" s="162"/>
      <c r="D84" s="162"/>
      <c r="E84" s="191"/>
      <c r="F84" s="191"/>
      <c r="G84" s="189"/>
      <c r="H84" s="189"/>
      <c r="I84" s="189"/>
      <c r="J84" s="189"/>
      <c r="K84" s="189"/>
      <c r="L84" s="189"/>
      <c r="M84" s="29"/>
      <c r="N84" s="171"/>
    </row>
    <row r="85" spans="2:14" hidden="1">
      <c r="B85" s="166"/>
      <c r="C85" s="163"/>
      <c r="D85" s="163"/>
      <c r="E85" s="192"/>
      <c r="F85" s="192"/>
      <c r="G85" s="190"/>
      <c r="H85" s="190"/>
      <c r="I85" s="190"/>
      <c r="J85" s="190"/>
      <c r="K85" s="190"/>
      <c r="L85" s="190"/>
      <c r="M85" s="26"/>
      <c r="N85" s="172"/>
    </row>
    <row r="86" spans="2:14" hidden="1">
      <c r="B86" s="165"/>
      <c r="C86" s="162"/>
      <c r="D86" s="162"/>
      <c r="E86" s="191"/>
      <c r="F86" s="191"/>
      <c r="G86" s="189"/>
      <c r="H86" s="189"/>
      <c r="I86" s="189"/>
      <c r="J86" s="189"/>
      <c r="K86" s="189"/>
      <c r="L86" s="189"/>
      <c r="M86" s="29"/>
      <c r="N86" s="171"/>
    </row>
    <row r="87" spans="2:14" hidden="1">
      <c r="B87" s="166"/>
      <c r="C87" s="163"/>
      <c r="D87" s="163"/>
      <c r="E87" s="192"/>
      <c r="F87" s="192"/>
      <c r="G87" s="190"/>
      <c r="H87" s="190"/>
      <c r="I87" s="190"/>
      <c r="J87" s="190"/>
      <c r="K87" s="190"/>
      <c r="L87" s="190"/>
      <c r="M87" s="26"/>
      <c r="N87" s="172"/>
    </row>
    <row r="88" spans="2:14" hidden="1">
      <c r="B88" s="165"/>
      <c r="C88" s="162"/>
      <c r="D88" s="162"/>
      <c r="E88" s="191"/>
      <c r="F88" s="191"/>
      <c r="G88" s="189"/>
      <c r="H88" s="189"/>
      <c r="I88" s="189"/>
      <c r="J88" s="189"/>
      <c r="K88" s="189"/>
      <c r="L88" s="189"/>
      <c r="M88" s="29"/>
      <c r="N88" s="171"/>
    </row>
    <row r="89" spans="2:14" hidden="1">
      <c r="B89" s="166"/>
      <c r="C89" s="163"/>
      <c r="D89" s="163"/>
      <c r="E89" s="192"/>
      <c r="F89" s="192"/>
      <c r="G89" s="190"/>
      <c r="H89" s="190"/>
      <c r="I89" s="190"/>
      <c r="J89" s="190"/>
      <c r="K89" s="190"/>
      <c r="L89" s="190"/>
      <c r="M89" s="26"/>
      <c r="N89" s="172"/>
    </row>
    <row r="90" spans="2:14" hidden="1">
      <c r="B90" s="165"/>
      <c r="C90" s="162"/>
      <c r="D90" s="162"/>
      <c r="E90" s="191"/>
      <c r="F90" s="191"/>
      <c r="G90" s="189"/>
      <c r="H90" s="189"/>
      <c r="I90" s="189"/>
      <c r="J90" s="189"/>
      <c r="K90" s="189"/>
      <c r="L90" s="189"/>
      <c r="M90" s="29"/>
      <c r="N90" s="171"/>
    </row>
    <row r="91" spans="2:14" hidden="1">
      <c r="B91" s="166"/>
      <c r="C91" s="163"/>
      <c r="D91" s="163"/>
      <c r="E91" s="192"/>
      <c r="F91" s="192"/>
      <c r="G91" s="190"/>
      <c r="H91" s="190"/>
      <c r="I91" s="190"/>
      <c r="J91" s="190"/>
      <c r="K91" s="190"/>
      <c r="L91" s="190"/>
      <c r="M91" s="26"/>
      <c r="N91" s="172"/>
    </row>
    <row r="92" spans="2:14" hidden="1">
      <c r="B92" s="165"/>
      <c r="C92" s="162"/>
      <c r="D92" s="162"/>
      <c r="E92" s="191"/>
      <c r="F92" s="191"/>
      <c r="G92" s="189"/>
      <c r="H92" s="189"/>
      <c r="I92" s="189"/>
      <c r="J92" s="189"/>
      <c r="K92" s="189"/>
      <c r="L92" s="189"/>
      <c r="M92" s="29"/>
      <c r="N92" s="171"/>
    </row>
    <row r="93" spans="2:14" hidden="1">
      <c r="B93" s="166"/>
      <c r="C93" s="163"/>
      <c r="D93" s="163"/>
      <c r="E93" s="192"/>
      <c r="F93" s="192"/>
      <c r="G93" s="190"/>
      <c r="H93" s="190"/>
      <c r="I93" s="190"/>
      <c r="J93" s="190"/>
      <c r="K93" s="190"/>
      <c r="L93" s="190"/>
      <c r="M93" s="26"/>
      <c r="N93" s="172"/>
    </row>
    <row r="94" spans="2:14" hidden="1">
      <c r="B94" s="165"/>
      <c r="C94" s="162"/>
      <c r="D94" s="162"/>
      <c r="E94" s="191"/>
      <c r="F94" s="191"/>
      <c r="G94" s="189"/>
      <c r="H94" s="189"/>
      <c r="I94" s="189"/>
      <c r="J94" s="189"/>
      <c r="K94" s="189"/>
      <c r="L94" s="189"/>
      <c r="M94" s="29"/>
      <c r="N94" s="171"/>
    </row>
    <row r="95" spans="2:14" hidden="1">
      <c r="B95" s="166"/>
      <c r="C95" s="163"/>
      <c r="D95" s="163"/>
      <c r="E95" s="192"/>
      <c r="F95" s="192"/>
      <c r="G95" s="190"/>
      <c r="H95" s="190"/>
      <c r="I95" s="190"/>
      <c r="J95" s="190"/>
      <c r="K95" s="190"/>
      <c r="L95" s="190"/>
      <c r="M95" s="26"/>
      <c r="N95" s="172"/>
    </row>
    <row r="96" spans="2:14" hidden="1">
      <c r="B96" s="165"/>
      <c r="C96" s="162"/>
      <c r="D96" s="162"/>
      <c r="E96" s="191"/>
      <c r="F96" s="191"/>
      <c r="G96" s="189"/>
      <c r="H96" s="189"/>
      <c r="I96" s="189"/>
      <c r="J96" s="189"/>
      <c r="K96" s="189"/>
      <c r="L96" s="189"/>
      <c r="M96" s="29"/>
      <c r="N96" s="171"/>
    </row>
    <row r="97" spans="2:14" hidden="1">
      <c r="B97" s="166"/>
      <c r="C97" s="163"/>
      <c r="D97" s="163"/>
      <c r="E97" s="192"/>
      <c r="F97" s="192"/>
      <c r="G97" s="190"/>
      <c r="H97" s="190"/>
      <c r="I97" s="190"/>
      <c r="J97" s="190"/>
      <c r="K97" s="190"/>
      <c r="L97" s="190"/>
      <c r="M97" s="26"/>
      <c r="N97" s="172"/>
    </row>
    <row r="98" spans="2:14" hidden="1">
      <c r="B98" s="165"/>
      <c r="C98" s="162"/>
      <c r="D98" s="162"/>
      <c r="E98" s="191"/>
      <c r="F98" s="191"/>
      <c r="G98" s="189"/>
      <c r="H98" s="189"/>
      <c r="I98" s="189"/>
      <c r="J98" s="189"/>
      <c r="K98" s="189"/>
      <c r="L98" s="189"/>
      <c r="M98" s="29"/>
      <c r="N98" s="171"/>
    </row>
    <row r="99" spans="2:14" hidden="1">
      <c r="B99" s="166"/>
      <c r="C99" s="163"/>
      <c r="D99" s="163"/>
      <c r="E99" s="192"/>
      <c r="F99" s="192"/>
      <c r="G99" s="190"/>
      <c r="H99" s="190"/>
      <c r="I99" s="190"/>
      <c r="J99" s="190"/>
      <c r="K99" s="190"/>
      <c r="L99" s="190"/>
      <c r="M99" s="26"/>
      <c r="N99" s="172"/>
    </row>
    <row r="100" spans="2:14" hidden="1">
      <c r="B100" s="165"/>
      <c r="C100" s="162"/>
      <c r="D100" s="162"/>
      <c r="E100" s="191"/>
      <c r="F100" s="191"/>
      <c r="G100" s="189"/>
      <c r="H100" s="189"/>
      <c r="I100" s="189"/>
      <c r="J100" s="189"/>
      <c r="K100" s="189"/>
      <c r="L100" s="189"/>
      <c r="M100" s="29"/>
      <c r="N100" s="171"/>
    </row>
    <row r="101" spans="2:14" hidden="1">
      <c r="B101" s="166"/>
      <c r="C101" s="163"/>
      <c r="D101" s="163"/>
      <c r="E101" s="192"/>
      <c r="F101" s="192"/>
      <c r="G101" s="190"/>
      <c r="H101" s="190"/>
      <c r="I101" s="190"/>
      <c r="J101" s="190"/>
      <c r="K101" s="190"/>
      <c r="L101" s="190"/>
      <c r="M101" s="26"/>
      <c r="N101" s="172"/>
    </row>
    <row r="102" spans="2:14" hidden="1">
      <c r="B102" s="165"/>
      <c r="C102" s="162"/>
      <c r="D102" s="162"/>
      <c r="E102" s="191"/>
      <c r="F102" s="191"/>
      <c r="G102" s="189"/>
      <c r="H102" s="189"/>
      <c r="I102" s="189"/>
      <c r="J102" s="189"/>
      <c r="K102" s="189"/>
      <c r="L102" s="189"/>
      <c r="M102" s="29"/>
      <c r="N102" s="171"/>
    </row>
    <row r="103" spans="2:14" hidden="1">
      <c r="B103" s="166"/>
      <c r="C103" s="163"/>
      <c r="D103" s="163"/>
      <c r="E103" s="192"/>
      <c r="F103" s="192"/>
      <c r="G103" s="190"/>
      <c r="H103" s="190"/>
      <c r="I103" s="190"/>
      <c r="J103" s="190"/>
      <c r="K103" s="190"/>
      <c r="L103" s="190"/>
      <c r="M103" s="26"/>
      <c r="N103" s="172"/>
    </row>
    <row r="104" spans="2:14" hidden="1">
      <c r="B104" s="165"/>
      <c r="C104" s="162"/>
      <c r="D104" s="162"/>
      <c r="E104" s="191"/>
      <c r="F104" s="191"/>
      <c r="G104" s="189"/>
      <c r="H104" s="189"/>
      <c r="I104" s="189"/>
      <c r="J104" s="189"/>
      <c r="K104" s="189"/>
      <c r="L104" s="189"/>
      <c r="M104" s="29"/>
      <c r="N104" s="171"/>
    </row>
    <row r="105" spans="2:14" hidden="1">
      <c r="B105" s="166"/>
      <c r="C105" s="163"/>
      <c r="D105" s="163"/>
      <c r="E105" s="192"/>
      <c r="F105" s="192"/>
      <c r="G105" s="190"/>
      <c r="H105" s="190"/>
      <c r="I105" s="190"/>
      <c r="J105" s="190"/>
      <c r="K105" s="190"/>
      <c r="L105" s="190"/>
      <c r="M105" s="26"/>
      <c r="N105" s="172"/>
    </row>
    <row r="106" spans="2:14" hidden="1">
      <c r="B106" s="165"/>
      <c r="C106" s="162"/>
      <c r="D106" s="162"/>
      <c r="E106" s="191"/>
      <c r="F106" s="191"/>
      <c r="G106" s="189"/>
      <c r="H106" s="189"/>
      <c r="I106" s="189"/>
      <c r="J106" s="189"/>
      <c r="K106" s="189"/>
      <c r="L106" s="189"/>
      <c r="M106" s="29"/>
      <c r="N106" s="171"/>
    </row>
    <row r="107" spans="2:14" hidden="1">
      <c r="B107" s="166"/>
      <c r="C107" s="163"/>
      <c r="D107" s="163"/>
      <c r="E107" s="192"/>
      <c r="F107" s="192"/>
      <c r="G107" s="190"/>
      <c r="H107" s="190"/>
      <c r="I107" s="190"/>
      <c r="J107" s="190"/>
      <c r="K107" s="190"/>
      <c r="L107" s="190"/>
      <c r="M107" s="26"/>
      <c r="N107" s="172"/>
    </row>
    <row r="108" spans="2:14" hidden="1">
      <c r="B108" s="165"/>
      <c r="C108" s="162"/>
      <c r="D108" s="162"/>
      <c r="E108" s="191"/>
      <c r="F108" s="191"/>
      <c r="G108" s="189"/>
      <c r="H108" s="189"/>
      <c r="I108" s="189"/>
      <c r="J108" s="189"/>
      <c r="K108" s="189"/>
      <c r="L108" s="189"/>
      <c r="M108" s="29"/>
      <c r="N108" s="171"/>
    </row>
    <row r="109" spans="2:14" hidden="1">
      <c r="B109" s="166"/>
      <c r="C109" s="163"/>
      <c r="D109" s="163"/>
      <c r="E109" s="192"/>
      <c r="F109" s="192"/>
      <c r="G109" s="190"/>
      <c r="H109" s="190"/>
      <c r="I109" s="190"/>
      <c r="J109" s="190"/>
      <c r="K109" s="190"/>
      <c r="L109" s="190"/>
      <c r="M109" s="26"/>
      <c r="N109" s="172"/>
    </row>
    <row r="110" spans="2:14" hidden="1">
      <c r="B110" s="165"/>
      <c r="C110" s="162"/>
      <c r="D110" s="162"/>
      <c r="E110" s="191"/>
      <c r="F110" s="191"/>
      <c r="G110" s="189"/>
      <c r="H110" s="189"/>
      <c r="I110" s="189"/>
      <c r="J110" s="189"/>
      <c r="K110" s="189"/>
      <c r="L110" s="189"/>
      <c r="M110" s="29"/>
      <c r="N110" s="171"/>
    </row>
    <row r="111" spans="2:14" hidden="1">
      <c r="B111" s="166"/>
      <c r="C111" s="163"/>
      <c r="D111" s="163"/>
      <c r="E111" s="192"/>
      <c r="F111" s="192"/>
      <c r="G111" s="190"/>
      <c r="H111" s="190"/>
      <c r="I111" s="190"/>
      <c r="J111" s="190"/>
      <c r="K111" s="190"/>
      <c r="L111" s="190"/>
      <c r="M111" s="26"/>
      <c r="N111" s="172"/>
    </row>
    <row r="112" spans="2:14" hidden="1">
      <c r="B112" s="165"/>
      <c r="C112" s="162"/>
      <c r="D112" s="162"/>
      <c r="E112" s="191"/>
      <c r="F112" s="191"/>
      <c r="G112" s="189"/>
      <c r="H112" s="189"/>
      <c r="I112" s="189"/>
      <c r="J112" s="189"/>
      <c r="K112" s="189"/>
      <c r="L112" s="189"/>
      <c r="M112" s="29"/>
      <c r="N112" s="171"/>
    </row>
    <row r="113" spans="2:14" hidden="1">
      <c r="B113" s="166"/>
      <c r="C113" s="163"/>
      <c r="D113" s="163"/>
      <c r="E113" s="192"/>
      <c r="F113" s="192"/>
      <c r="G113" s="190"/>
      <c r="H113" s="190"/>
      <c r="I113" s="190"/>
      <c r="J113" s="190"/>
      <c r="K113" s="190"/>
      <c r="L113" s="190"/>
      <c r="M113" s="26"/>
      <c r="N113" s="172"/>
    </row>
    <row r="114" spans="2:14" hidden="1">
      <c r="B114" s="165"/>
      <c r="C114" s="162"/>
      <c r="D114" s="162"/>
      <c r="E114" s="191"/>
      <c r="F114" s="191"/>
      <c r="G114" s="189"/>
      <c r="H114" s="189"/>
      <c r="I114" s="189"/>
      <c r="J114" s="189"/>
      <c r="K114" s="189"/>
      <c r="L114" s="189"/>
      <c r="M114" s="29"/>
      <c r="N114" s="171"/>
    </row>
    <row r="115" spans="2:14" hidden="1">
      <c r="B115" s="166"/>
      <c r="C115" s="163"/>
      <c r="D115" s="163"/>
      <c r="E115" s="192"/>
      <c r="F115" s="192"/>
      <c r="G115" s="190"/>
      <c r="H115" s="190"/>
      <c r="I115" s="190"/>
      <c r="J115" s="190"/>
      <c r="K115" s="190"/>
      <c r="L115" s="190"/>
      <c r="M115" s="26"/>
      <c r="N115" s="172"/>
    </row>
    <row r="116" spans="2:14" hidden="1">
      <c r="B116" s="165"/>
      <c r="C116" s="162"/>
      <c r="D116" s="162"/>
      <c r="E116" s="191"/>
      <c r="F116" s="191"/>
      <c r="G116" s="189"/>
      <c r="H116" s="189"/>
      <c r="I116" s="189"/>
      <c r="J116" s="189"/>
      <c r="K116" s="189"/>
      <c r="L116" s="189"/>
      <c r="M116" s="29"/>
      <c r="N116" s="171"/>
    </row>
    <row r="117" spans="2:14" hidden="1">
      <c r="B117" s="166"/>
      <c r="C117" s="163"/>
      <c r="D117" s="163"/>
      <c r="E117" s="192"/>
      <c r="F117" s="192"/>
      <c r="G117" s="190"/>
      <c r="H117" s="190"/>
      <c r="I117" s="190"/>
      <c r="J117" s="190"/>
      <c r="K117" s="190"/>
      <c r="L117" s="190"/>
      <c r="M117" s="26"/>
      <c r="N117" s="172"/>
    </row>
    <row r="118" spans="2:14" hidden="1">
      <c r="B118" s="165"/>
      <c r="C118" s="162"/>
      <c r="D118" s="162"/>
      <c r="E118" s="191"/>
      <c r="F118" s="191"/>
      <c r="G118" s="189"/>
      <c r="H118" s="189"/>
      <c r="I118" s="189"/>
      <c r="J118" s="189"/>
      <c r="K118" s="189"/>
      <c r="L118" s="189"/>
      <c r="M118" s="29"/>
      <c r="N118" s="171"/>
    </row>
    <row r="119" spans="2:14" hidden="1">
      <c r="B119" s="166"/>
      <c r="C119" s="163"/>
      <c r="D119" s="163"/>
      <c r="E119" s="192"/>
      <c r="F119" s="192"/>
      <c r="G119" s="190"/>
      <c r="H119" s="190"/>
      <c r="I119" s="190"/>
      <c r="J119" s="190"/>
      <c r="K119" s="190"/>
      <c r="L119" s="190"/>
      <c r="M119" s="26"/>
      <c r="N119" s="172"/>
    </row>
    <row r="120" spans="2:14" hidden="1">
      <c r="B120" s="165"/>
      <c r="C120" s="162"/>
      <c r="D120" s="162"/>
      <c r="E120" s="191"/>
      <c r="F120" s="191"/>
      <c r="G120" s="189"/>
      <c r="H120" s="189"/>
      <c r="I120" s="189"/>
      <c r="J120" s="189"/>
      <c r="K120" s="189"/>
      <c r="L120" s="189"/>
      <c r="M120" s="29"/>
      <c r="N120" s="171"/>
    </row>
    <row r="121" spans="2:14" hidden="1">
      <c r="B121" s="166"/>
      <c r="C121" s="163"/>
      <c r="D121" s="163"/>
      <c r="E121" s="192"/>
      <c r="F121" s="192"/>
      <c r="G121" s="190"/>
      <c r="H121" s="190"/>
      <c r="I121" s="190"/>
      <c r="J121" s="190"/>
      <c r="K121" s="190"/>
      <c r="L121" s="190"/>
      <c r="M121" s="26"/>
      <c r="N121" s="172"/>
    </row>
    <row r="122" spans="2:14" hidden="1">
      <c r="B122" s="165"/>
      <c r="C122" s="162"/>
      <c r="D122" s="162"/>
      <c r="E122" s="191"/>
      <c r="F122" s="191"/>
      <c r="G122" s="189"/>
      <c r="H122" s="189"/>
      <c r="I122" s="189"/>
      <c r="J122" s="189"/>
      <c r="K122" s="189"/>
      <c r="L122" s="189"/>
      <c r="M122" s="29"/>
      <c r="N122" s="171"/>
    </row>
    <row r="123" spans="2:14" hidden="1">
      <c r="B123" s="166"/>
      <c r="C123" s="163"/>
      <c r="D123" s="163"/>
      <c r="E123" s="192"/>
      <c r="F123" s="192"/>
      <c r="G123" s="190"/>
      <c r="H123" s="190"/>
      <c r="I123" s="190"/>
      <c r="J123" s="190"/>
      <c r="K123" s="190"/>
      <c r="L123" s="190"/>
      <c r="M123" s="26"/>
      <c r="N123" s="172"/>
    </row>
    <row r="124" spans="2:14" hidden="1">
      <c r="B124" s="165"/>
      <c r="C124" s="162"/>
      <c r="D124" s="162"/>
      <c r="E124" s="191"/>
      <c r="F124" s="191"/>
      <c r="G124" s="189"/>
      <c r="H124" s="189"/>
      <c r="I124" s="189"/>
      <c r="J124" s="189"/>
      <c r="K124" s="189"/>
      <c r="L124" s="189"/>
      <c r="M124" s="29"/>
      <c r="N124" s="171"/>
    </row>
    <row r="125" spans="2:14" hidden="1">
      <c r="B125" s="166"/>
      <c r="C125" s="163"/>
      <c r="D125" s="163"/>
      <c r="E125" s="192"/>
      <c r="F125" s="192"/>
      <c r="G125" s="190"/>
      <c r="H125" s="190"/>
      <c r="I125" s="190"/>
      <c r="J125" s="190"/>
      <c r="K125" s="190"/>
      <c r="L125" s="190"/>
      <c r="M125" s="26"/>
      <c r="N125" s="172"/>
    </row>
    <row r="126" spans="2:14" hidden="1">
      <c r="B126" s="165"/>
      <c r="C126" s="162"/>
      <c r="D126" s="162"/>
      <c r="E126" s="191"/>
      <c r="F126" s="191"/>
      <c r="G126" s="189"/>
      <c r="H126" s="189"/>
      <c r="I126" s="189"/>
      <c r="J126" s="189"/>
      <c r="K126" s="189"/>
      <c r="L126" s="189"/>
      <c r="M126" s="29"/>
      <c r="N126" s="171"/>
    </row>
    <row r="127" spans="2:14" hidden="1">
      <c r="B127" s="166"/>
      <c r="C127" s="163"/>
      <c r="D127" s="163"/>
      <c r="E127" s="192"/>
      <c r="F127" s="192"/>
      <c r="G127" s="190"/>
      <c r="H127" s="190"/>
      <c r="I127" s="190"/>
      <c r="J127" s="190"/>
      <c r="K127" s="190"/>
      <c r="L127" s="190"/>
      <c r="M127" s="26"/>
      <c r="N127" s="172"/>
    </row>
    <row r="128" spans="2:14" hidden="1">
      <c r="B128" s="165"/>
      <c r="C128" s="162"/>
      <c r="D128" s="162"/>
      <c r="E128" s="191"/>
      <c r="F128" s="191"/>
      <c r="G128" s="189"/>
      <c r="H128" s="189"/>
      <c r="I128" s="189"/>
      <c r="J128" s="189"/>
      <c r="K128" s="189"/>
      <c r="L128" s="189"/>
      <c r="M128" s="29"/>
      <c r="N128" s="171"/>
    </row>
    <row r="129" spans="2:14" hidden="1">
      <c r="B129" s="166"/>
      <c r="C129" s="163"/>
      <c r="D129" s="163"/>
      <c r="E129" s="192"/>
      <c r="F129" s="192"/>
      <c r="G129" s="190"/>
      <c r="H129" s="190"/>
      <c r="I129" s="190"/>
      <c r="J129" s="190"/>
      <c r="K129" s="190"/>
      <c r="L129" s="190"/>
      <c r="M129" s="26"/>
      <c r="N129" s="172"/>
    </row>
    <row r="130" spans="2:14" hidden="1">
      <c r="B130" s="165"/>
      <c r="C130" s="162"/>
      <c r="D130" s="162"/>
      <c r="E130" s="191"/>
      <c r="F130" s="191"/>
      <c r="G130" s="189"/>
      <c r="H130" s="189"/>
      <c r="I130" s="189"/>
      <c r="J130" s="189"/>
      <c r="K130" s="189"/>
      <c r="L130" s="189"/>
      <c r="M130" s="29"/>
      <c r="N130" s="171"/>
    </row>
    <row r="131" spans="2:14" hidden="1">
      <c r="B131" s="166"/>
      <c r="C131" s="163"/>
      <c r="D131" s="163"/>
      <c r="E131" s="192"/>
      <c r="F131" s="192"/>
      <c r="G131" s="190"/>
      <c r="H131" s="190"/>
      <c r="I131" s="190"/>
      <c r="J131" s="190"/>
      <c r="K131" s="190"/>
      <c r="L131" s="190"/>
      <c r="M131" s="26"/>
      <c r="N131" s="172"/>
    </row>
    <row r="132" spans="2:14" hidden="1">
      <c r="B132" s="165"/>
      <c r="C132" s="162"/>
      <c r="D132" s="162"/>
      <c r="E132" s="191"/>
      <c r="F132" s="191"/>
      <c r="G132" s="189"/>
      <c r="H132" s="189"/>
      <c r="I132" s="189"/>
      <c r="J132" s="189"/>
      <c r="K132" s="189"/>
      <c r="L132" s="189"/>
      <c r="M132" s="29"/>
      <c r="N132" s="171"/>
    </row>
    <row r="133" spans="2:14" hidden="1">
      <c r="B133" s="166"/>
      <c r="C133" s="163"/>
      <c r="D133" s="163"/>
      <c r="E133" s="192"/>
      <c r="F133" s="192"/>
      <c r="G133" s="190"/>
      <c r="H133" s="190"/>
      <c r="I133" s="190"/>
      <c r="J133" s="190"/>
      <c r="K133" s="190"/>
      <c r="L133" s="190"/>
      <c r="M133" s="26"/>
      <c r="N133" s="172"/>
    </row>
    <row r="134" spans="2:14" hidden="1">
      <c r="B134" s="165"/>
      <c r="C134" s="162"/>
      <c r="D134" s="162"/>
      <c r="E134" s="191"/>
      <c r="F134" s="191"/>
      <c r="G134" s="189"/>
      <c r="H134" s="189"/>
      <c r="I134" s="189"/>
      <c r="J134" s="189"/>
      <c r="K134" s="189"/>
      <c r="L134" s="189"/>
      <c r="M134" s="29"/>
      <c r="N134" s="171"/>
    </row>
    <row r="135" spans="2:14" hidden="1">
      <c r="B135" s="166"/>
      <c r="C135" s="163"/>
      <c r="D135" s="163"/>
      <c r="E135" s="192"/>
      <c r="F135" s="192"/>
      <c r="G135" s="190"/>
      <c r="H135" s="190"/>
      <c r="I135" s="190"/>
      <c r="J135" s="190"/>
      <c r="K135" s="190"/>
      <c r="L135" s="190"/>
      <c r="M135" s="26"/>
      <c r="N135" s="172"/>
    </row>
    <row r="136" spans="2:14" hidden="1">
      <c r="B136" s="165"/>
      <c r="C136" s="162"/>
      <c r="D136" s="162"/>
      <c r="E136" s="191"/>
      <c r="F136" s="191"/>
      <c r="G136" s="189"/>
      <c r="H136" s="189"/>
      <c r="I136" s="189"/>
      <c r="J136" s="189"/>
      <c r="K136" s="189"/>
      <c r="L136" s="189"/>
      <c r="M136" s="29"/>
      <c r="N136" s="171"/>
    </row>
    <row r="137" spans="2:14" hidden="1">
      <c r="B137" s="166"/>
      <c r="C137" s="163"/>
      <c r="D137" s="163"/>
      <c r="E137" s="192"/>
      <c r="F137" s="192"/>
      <c r="G137" s="190"/>
      <c r="H137" s="190"/>
      <c r="I137" s="190"/>
      <c r="J137" s="190"/>
      <c r="K137" s="190"/>
      <c r="L137" s="190"/>
      <c r="M137" s="26"/>
      <c r="N137" s="172"/>
    </row>
    <row r="138" spans="2:14" hidden="1">
      <c r="B138" s="165"/>
      <c r="C138" s="162"/>
      <c r="D138" s="162"/>
      <c r="E138" s="191"/>
      <c r="F138" s="191"/>
      <c r="G138" s="189"/>
      <c r="H138" s="189"/>
      <c r="I138" s="189"/>
      <c r="J138" s="189"/>
      <c r="K138" s="189"/>
      <c r="L138" s="189"/>
      <c r="M138" s="29"/>
      <c r="N138" s="171"/>
    </row>
    <row r="139" spans="2:14" hidden="1">
      <c r="B139" s="166"/>
      <c r="C139" s="163"/>
      <c r="D139" s="163"/>
      <c r="E139" s="192"/>
      <c r="F139" s="192"/>
      <c r="G139" s="190"/>
      <c r="H139" s="190"/>
      <c r="I139" s="190"/>
      <c r="J139" s="190"/>
      <c r="K139" s="190"/>
      <c r="L139" s="190"/>
      <c r="M139" s="26"/>
      <c r="N139" s="172"/>
    </row>
    <row r="140" spans="2:14" hidden="1">
      <c r="B140" s="165"/>
      <c r="C140" s="162"/>
      <c r="D140" s="162"/>
      <c r="E140" s="191"/>
      <c r="F140" s="191"/>
      <c r="G140" s="189"/>
      <c r="H140" s="189"/>
      <c r="I140" s="189"/>
      <c r="J140" s="189"/>
      <c r="K140" s="189"/>
      <c r="L140" s="189"/>
      <c r="M140" s="29"/>
      <c r="N140" s="171"/>
    </row>
    <row r="141" spans="2:14" hidden="1">
      <c r="B141" s="166"/>
      <c r="C141" s="163"/>
      <c r="D141" s="163"/>
      <c r="E141" s="192"/>
      <c r="F141" s="192"/>
      <c r="G141" s="190"/>
      <c r="H141" s="190"/>
      <c r="I141" s="190"/>
      <c r="J141" s="190"/>
      <c r="K141" s="190"/>
      <c r="L141" s="190"/>
      <c r="M141" s="26"/>
      <c r="N141" s="172"/>
    </row>
    <row r="142" spans="2:14" hidden="1">
      <c r="B142" s="165"/>
      <c r="C142" s="162"/>
      <c r="D142" s="162"/>
      <c r="E142" s="191"/>
      <c r="F142" s="191"/>
      <c r="G142" s="189"/>
      <c r="H142" s="189"/>
      <c r="I142" s="189"/>
      <c r="J142" s="189"/>
      <c r="K142" s="189"/>
      <c r="L142" s="189"/>
      <c r="M142" s="29"/>
      <c r="N142" s="171"/>
    </row>
    <row r="143" spans="2:14" hidden="1">
      <c r="B143" s="166"/>
      <c r="C143" s="163"/>
      <c r="D143" s="163"/>
      <c r="E143" s="192"/>
      <c r="F143" s="192"/>
      <c r="G143" s="190"/>
      <c r="H143" s="190"/>
      <c r="I143" s="190"/>
      <c r="J143" s="190"/>
      <c r="K143" s="190"/>
      <c r="L143" s="190"/>
      <c r="M143" s="26"/>
      <c r="N143" s="172"/>
    </row>
    <row r="144" spans="2:14" hidden="1">
      <c r="B144" s="165"/>
      <c r="C144" s="162"/>
      <c r="D144" s="162"/>
      <c r="E144" s="191"/>
      <c r="F144" s="191"/>
      <c r="G144" s="189"/>
      <c r="H144" s="189"/>
      <c r="I144" s="189"/>
      <c r="J144" s="189"/>
      <c r="K144" s="189"/>
      <c r="L144" s="189"/>
      <c r="M144" s="29"/>
      <c r="N144" s="171"/>
    </row>
    <row r="145" spans="2:14" hidden="1">
      <c r="B145" s="166"/>
      <c r="C145" s="163"/>
      <c r="D145" s="163"/>
      <c r="E145" s="192"/>
      <c r="F145" s="192"/>
      <c r="G145" s="190"/>
      <c r="H145" s="190"/>
      <c r="I145" s="190"/>
      <c r="J145" s="190"/>
      <c r="K145" s="190"/>
      <c r="L145" s="190"/>
      <c r="M145" s="26"/>
      <c r="N145" s="172"/>
    </row>
    <row r="146" spans="2:14" hidden="1">
      <c r="B146" s="165"/>
      <c r="C146" s="162"/>
      <c r="D146" s="162"/>
      <c r="E146" s="191"/>
      <c r="F146" s="191"/>
      <c r="G146" s="189"/>
      <c r="H146" s="189"/>
      <c r="I146" s="189"/>
      <c r="J146" s="189"/>
      <c r="K146" s="189"/>
      <c r="L146" s="189"/>
      <c r="M146" s="29"/>
      <c r="N146" s="171"/>
    </row>
    <row r="147" spans="2:14" hidden="1">
      <c r="B147" s="166"/>
      <c r="C147" s="163"/>
      <c r="D147" s="163"/>
      <c r="E147" s="192"/>
      <c r="F147" s="192"/>
      <c r="G147" s="190"/>
      <c r="H147" s="190"/>
      <c r="I147" s="190"/>
      <c r="J147" s="190"/>
      <c r="K147" s="190"/>
      <c r="L147" s="190"/>
      <c r="M147" s="26"/>
      <c r="N147" s="172"/>
    </row>
    <row r="148" spans="2:14" hidden="1">
      <c r="B148" s="165"/>
      <c r="C148" s="162"/>
      <c r="D148" s="162"/>
      <c r="E148" s="191"/>
      <c r="F148" s="191"/>
      <c r="G148" s="189"/>
      <c r="H148" s="189"/>
      <c r="I148" s="189"/>
      <c r="J148" s="189"/>
      <c r="K148" s="189"/>
      <c r="L148" s="189"/>
      <c r="M148" s="29"/>
      <c r="N148" s="171"/>
    </row>
    <row r="149" spans="2:14" hidden="1">
      <c r="B149" s="166"/>
      <c r="C149" s="163"/>
      <c r="D149" s="163"/>
      <c r="E149" s="192"/>
      <c r="F149" s="192"/>
      <c r="G149" s="190"/>
      <c r="H149" s="190"/>
      <c r="I149" s="190"/>
      <c r="J149" s="190"/>
      <c r="K149" s="190"/>
      <c r="L149" s="190"/>
      <c r="M149" s="26"/>
      <c r="N149" s="172"/>
    </row>
    <row r="150" spans="2:14" hidden="1">
      <c r="B150" s="165"/>
      <c r="C150" s="162"/>
      <c r="D150" s="162"/>
      <c r="E150" s="191"/>
      <c r="F150" s="191"/>
      <c r="G150" s="189"/>
      <c r="H150" s="189"/>
      <c r="I150" s="189"/>
      <c r="J150" s="189"/>
      <c r="K150" s="189"/>
      <c r="L150" s="189"/>
      <c r="M150" s="29"/>
      <c r="N150" s="171"/>
    </row>
    <row r="151" spans="2:14" hidden="1">
      <c r="B151" s="166"/>
      <c r="C151" s="163"/>
      <c r="D151" s="163"/>
      <c r="E151" s="192"/>
      <c r="F151" s="192"/>
      <c r="G151" s="190"/>
      <c r="H151" s="190"/>
      <c r="I151" s="190"/>
      <c r="J151" s="190"/>
      <c r="K151" s="190"/>
      <c r="L151" s="190"/>
      <c r="M151" s="26"/>
      <c r="N151" s="172"/>
    </row>
    <row r="152" spans="2:14" hidden="1">
      <c r="B152" s="165"/>
      <c r="C152" s="162"/>
      <c r="D152" s="162"/>
      <c r="E152" s="191"/>
      <c r="F152" s="191"/>
      <c r="G152" s="189"/>
      <c r="H152" s="189"/>
      <c r="I152" s="189"/>
      <c r="J152" s="189"/>
      <c r="K152" s="189"/>
      <c r="L152" s="189"/>
      <c r="M152" s="29"/>
      <c r="N152" s="171"/>
    </row>
    <row r="153" spans="2:14" hidden="1">
      <c r="B153" s="166"/>
      <c r="C153" s="163"/>
      <c r="D153" s="163"/>
      <c r="E153" s="192"/>
      <c r="F153" s="192"/>
      <c r="G153" s="190"/>
      <c r="H153" s="190"/>
      <c r="I153" s="190"/>
      <c r="J153" s="190"/>
      <c r="K153" s="190"/>
      <c r="L153" s="190"/>
      <c r="M153" s="26"/>
      <c r="N153" s="172"/>
    </row>
    <row r="154" spans="2:14" hidden="1">
      <c r="B154" s="165"/>
      <c r="C154" s="162"/>
      <c r="D154" s="162"/>
      <c r="E154" s="191"/>
      <c r="F154" s="191"/>
      <c r="G154" s="189"/>
      <c r="H154" s="189"/>
      <c r="I154" s="189"/>
      <c r="J154" s="189"/>
      <c r="K154" s="189"/>
      <c r="L154" s="189"/>
      <c r="M154" s="29"/>
      <c r="N154" s="171"/>
    </row>
    <row r="155" spans="2:14" hidden="1">
      <c r="B155" s="166"/>
      <c r="C155" s="163"/>
      <c r="D155" s="163"/>
      <c r="E155" s="192"/>
      <c r="F155" s="192"/>
      <c r="G155" s="190"/>
      <c r="H155" s="190"/>
      <c r="I155" s="190"/>
      <c r="J155" s="190"/>
      <c r="K155" s="190"/>
      <c r="L155" s="190"/>
      <c r="M155" s="26"/>
      <c r="N155" s="172"/>
    </row>
    <row r="156" spans="2:14" hidden="1">
      <c r="B156" s="165"/>
      <c r="C156" s="162"/>
      <c r="D156" s="162"/>
      <c r="E156" s="191"/>
      <c r="F156" s="191"/>
      <c r="G156" s="189"/>
      <c r="H156" s="189"/>
      <c r="I156" s="189"/>
      <c r="J156" s="189"/>
      <c r="K156" s="189"/>
      <c r="L156" s="189"/>
      <c r="M156" s="29"/>
      <c r="N156" s="171"/>
    </row>
    <row r="157" spans="2:14" hidden="1">
      <c r="B157" s="166"/>
      <c r="C157" s="163"/>
      <c r="D157" s="163"/>
      <c r="E157" s="192"/>
      <c r="F157" s="192"/>
      <c r="G157" s="190"/>
      <c r="H157" s="190"/>
      <c r="I157" s="190"/>
      <c r="J157" s="190"/>
      <c r="K157" s="190"/>
      <c r="L157" s="190"/>
      <c r="M157" s="26"/>
      <c r="N157" s="172"/>
    </row>
    <row r="158" spans="2:14" hidden="1">
      <c r="B158" s="165"/>
      <c r="C158" s="162"/>
      <c r="D158" s="162"/>
      <c r="E158" s="191"/>
      <c r="F158" s="191"/>
      <c r="G158" s="189"/>
      <c r="H158" s="189"/>
      <c r="I158" s="189"/>
      <c r="J158" s="189"/>
      <c r="K158" s="189"/>
      <c r="L158" s="189"/>
      <c r="M158" s="29"/>
      <c r="N158" s="171"/>
    </row>
    <row r="159" spans="2:14" hidden="1">
      <c r="B159" s="166"/>
      <c r="C159" s="163"/>
      <c r="D159" s="163"/>
      <c r="E159" s="192"/>
      <c r="F159" s="192"/>
      <c r="G159" s="190"/>
      <c r="H159" s="190"/>
      <c r="I159" s="190"/>
      <c r="J159" s="190"/>
      <c r="K159" s="190"/>
      <c r="L159" s="190"/>
      <c r="M159" s="26"/>
      <c r="N159" s="172"/>
    </row>
    <row r="160" spans="2:14" hidden="1">
      <c r="B160" s="165"/>
      <c r="C160" s="162"/>
      <c r="D160" s="162"/>
      <c r="E160" s="191"/>
      <c r="F160" s="191"/>
      <c r="G160" s="189"/>
      <c r="H160" s="189"/>
      <c r="I160" s="189"/>
      <c r="J160" s="189"/>
      <c r="K160" s="189"/>
      <c r="L160" s="189"/>
      <c r="M160" s="29"/>
      <c r="N160" s="171"/>
    </row>
    <row r="161" spans="2:14" hidden="1">
      <c r="B161" s="166"/>
      <c r="C161" s="163"/>
      <c r="D161" s="163"/>
      <c r="E161" s="192"/>
      <c r="F161" s="192"/>
      <c r="G161" s="190"/>
      <c r="H161" s="190"/>
      <c r="I161" s="190"/>
      <c r="J161" s="190"/>
      <c r="K161" s="190"/>
      <c r="L161" s="190"/>
      <c r="M161" s="26"/>
      <c r="N161" s="172"/>
    </row>
    <row r="162" spans="2:14" hidden="1">
      <c r="B162" s="165"/>
      <c r="C162" s="162"/>
      <c r="D162" s="162"/>
      <c r="E162" s="191"/>
      <c r="F162" s="191"/>
      <c r="G162" s="189"/>
      <c r="H162" s="189"/>
      <c r="I162" s="189"/>
      <c r="J162" s="189"/>
      <c r="K162" s="189"/>
      <c r="L162" s="189"/>
      <c r="M162" s="29"/>
      <c r="N162" s="171"/>
    </row>
    <row r="163" spans="2:14" hidden="1">
      <c r="B163" s="166"/>
      <c r="C163" s="163"/>
      <c r="D163" s="163"/>
      <c r="E163" s="192"/>
      <c r="F163" s="192"/>
      <c r="G163" s="190"/>
      <c r="H163" s="190"/>
      <c r="I163" s="190"/>
      <c r="J163" s="190"/>
      <c r="K163" s="190"/>
      <c r="L163" s="190"/>
      <c r="M163" s="26"/>
      <c r="N163" s="172"/>
    </row>
    <row r="164" spans="2:14" hidden="1">
      <c r="B164" s="165"/>
      <c r="C164" s="162"/>
      <c r="D164" s="162"/>
      <c r="E164" s="191"/>
      <c r="F164" s="191"/>
      <c r="G164" s="189"/>
      <c r="H164" s="189"/>
      <c r="I164" s="189"/>
      <c r="J164" s="189"/>
      <c r="K164" s="189"/>
      <c r="L164" s="189"/>
      <c r="M164" s="29"/>
      <c r="N164" s="171"/>
    </row>
    <row r="165" spans="2:14" hidden="1">
      <c r="B165" s="166"/>
      <c r="C165" s="163"/>
      <c r="D165" s="163"/>
      <c r="E165" s="192"/>
      <c r="F165" s="192"/>
      <c r="G165" s="190"/>
      <c r="H165" s="190"/>
      <c r="I165" s="190"/>
      <c r="J165" s="190"/>
      <c r="K165" s="190"/>
      <c r="L165" s="190"/>
      <c r="M165" s="26"/>
      <c r="N165" s="172"/>
    </row>
    <row r="166" spans="2:14" hidden="1">
      <c r="B166" s="165"/>
      <c r="C166" s="162"/>
      <c r="D166" s="162"/>
      <c r="E166" s="191"/>
      <c r="F166" s="191"/>
      <c r="G166" s="189"/>
      <c r="H166" s="189"/>
      <c r="I166" s="189"/>
      <c r="J166" s="189"/>
      <c r="K166" s="189"/>
      <c r="L166" s="189"/>
      <c r="M166" s="29"/>
      <c r="N166" s="171"/>
    </row>
    <row r="167" spans="2:14" hidden="1">
      <c r="B167" s="166"/>
      <c r="C167" s="163"/>
      <c r="D167" s="163"/>
      <c r="E167" s="192"/>
      <c r="F167" s="192"/>
      <c r="G167" s="190"/>
      <c r="H167" s="190"/>
      <c r="I167" s="190"/>
      <c r="J167" s="190"/>
      <c r="K167" s="190"/>
      <c r="L167" s="190"/>
      <c r="M167" s="26"/>
      <c r="N167" s="172"/>
    </row>
    <row r="168" spans="2:14" hidden="1">
      <c r="B168" s="165"/>
      <c r="C168" s="162"/>
      <c r="D168" s="162"/>
      <c r="E168" s="191"/>
      <c r="F168" s="191"/>
      <c r="G168" s="189"/>
      <c r="H168" s="189"/>
      <c r="I168" s="189"/>
      <c r="J168" s="189"/>
      <c r="K168" s="189"/>
      <c r="L168" s="189"/>
      <c r="M168" s="29"/>
      <c r="N168" s="171"/>
    </row>
    <row r="169" spans="2:14" hidden="1">
      <c r="B169" s="166"/>
      <c r="C169" s="163"/>
      <c r="D169" s="163"/>
      <c r="E169" s="192"/>
      <c r="F169" s="192"/>
      <c r="G169" s="190"/>
      <c r="H169" s="190"/>
      <c r="I169" s="190"/>
      <c r="J169" s="190"/>
      <c r="K169" s="190"/>
      <c r="L169" s="190"/>
      <c r="M169" s="26"/>
      <c r="N169" s="172"/>
    </row>
    <row r="170" spans="2:14" hidden="1">
      <c r="B170" s="165"/>
      <c r="C170" s="162"/>
      <c r="D170" s="162"/>
      <c r="E170" s="191"/>
      <c r="F170" s="191"/>
      <c r="G170" s="189"/>
      <c r="H170" s="189"/>
      <c r="I170" s="189"/>
      <c r="J170" s="189"/>
      <c r="K170" s="189"/>
      <c r="L170" s="189"/>
      <c r="M170" s="29"/>
      <c r="N170" s="171"/>
    </row>
    <row r="171" spans="2:14" hidden="1">
      <c r="B171" s="166"/>
      <c r="C171" s="163"/>
      <c r="D171" s="163"/>
      <c r="E171" s="192"/>
      <c r="F171" s="192"/>
      <c r="G171" s="190"/>
      <c r="H171" s="190"/>
      <c r="I171" s="190"/>
      <c r="J171" s="190"/>
      <c r="K171" s="190"/>
      <c r="L171" s="190"/>
      <c r="M171" s="26"/>
      <c r="N171" s="172"/>
    </row>
    <row r="172" spans="2:14" hidden="1">
      <c r="B172" s="165"/>
      <c r="C172" s="162"/>
      <c r="D172" s="162"/>
      <c r="E172" s="191"/>
      <c r="F172" s="191"/>
      <c r="G172" s="189"/>
      <c r="H172" s="189"/>
      <c r="I172" s="189"/>
      <c r="J172" s="189"/>
      <c r="K172" s="189"/>
      <c r="L172" s="189"/>
      <c r="M172" s="29"/>
      <c r="N172" s="171"/>
    </row>
    <row r="173" spans="2:14" hidden="1">
      <c r="B173" s="166"/>
      <c r="C173" s="163"/>
      <c r="D173" s="163"/>
      <c r="E173" s="192"/>
      <c r="F173" s="192"/>
      <c r="G173" s="190"/>
      <c r="H173" s="190"/>
      <c r="I173" s="190"/>
      <c r="J173" s="190"/>
      <c r="K173" s="190"/>
      <c r="L173" s="190"/>
      <c r="M173" s="26"/>
      <c r="N173" s="172"/>
    </row>
    <row r="174" spans="2:14" hidden="1">
      <c r="B174" s="165"/>
      <c r="C174" s="162"/>
      <c r="D174" s="162"/>
      <c r="E174" s="191"/>
      <c r="F174" s="191"/>
      <c r="G174" s="189"/>
      <c r="H174" s="189"/>
      <c r="I174" s="189"/>
      <c r="J174" s="189"/>
      <c r="K174" s="189"/>
      <c r="L174" s="189"/>
      <c r="M174" s="29"/>
      <c r="N174" s="171"/>
    </row>
    <row r="175" spans="2:14" hidden="1">
      <c r="B175" s="166"/>
      <c r="C175" s="163"/>
      <c r="D175" s="163"/>
      <c r="E175" s="192"/>
      <c r="F175" s="192"/>
      <c r="G175" s="190"/>
      <c r="H175" s="190"/>
      <c r="I175" s="190"/>
      <c r="J175" s="190"/>
      <c r="K175" s="190"/>
      <c r="L175" s="190"/>
      <c r="M175" s="26"/>
      <c r="N175" s="172"/>
    </row>
    <row r="176" spans="2:14" hidden="1">
      <c r="B176" s="165"/>
      <c r="C176" s="162"/>
      <c r="D176" s="162"/>
      <c r="E176" s="191"/>
      <c r="F176" s="191"/>
      <c r="G176" s="189"/>
      <c r="H176" s="189"/>
      <c r="I176" s="189"/>
      <c r="J176" s="189"/>
      <c r="K176" s="189"/>
      <c r="L176" s="189"/>
      <c r="M176" s="29"/>
      <c r="N176" s="171"/>
    </row>
    <row r="177" spans="2:14" hidden="1">
      <c r="B177" s="166"/>
      <c r="C177" s="163"/>
      <c r="D177" s="163"/>
      <c r="E177" s="192"/>
      <c r="F177" s="192"/>
      <c r="G177" s="190"/>
      <c r="H177" s="190"/>
      <c r="I177" s="190"/>
      <c r="J177" s="190"/>
      <c r="K177" s="190"/>
      <c r="L177" s="190"/>
      <c r="M177" s="26"/>
      <c r="N177" s="172"/>
    </row>
    <row r="178" spans="2:14" hidden="1">
      <c r="B178" s="165"/>
      <c r="C178" s="162"/>
      <c r="D178" s="162"/>
      <c r="E178" s="191"/>
      <c r="F178" s="191"/>
      <c r="G178" s="189"/>
      <c r="H178" s="189"/>
      <c r="I178" s="189"/>
      <c r="J178" s="189"/>
      <c r="K178" s="189"/>
      <c r="L178" s="189"/>
      <c r="M178" s="29"/>
      <c r="N178" s="171"/>
    </row>
    <row r="179" spans="2:14" hidden="1">
      <c r="B179" s="166"/>
      <c r="C179" s="163"/>
      <c r="D179" s="163"/>
      <c r="E179" s="192"/>
      <c r="F179" s="192"/>
      <c r="G179" s="190"/>
      <c r="H179" s="190"/>
      <c r="I179" s="190"/>
      <c r="J179" s="190"/>
      <c r="K179" s="190"/>
      <c r="L179" s="190"/>
      <c r="M179" s="26"/>
      <c r="N179" s="172"/>
    </row>
    <row r="180" spans="2:14" hidden="1">
      <c r="B180" s="165"/>
      <c r="C180" s="162"/>
      <c r="D180" s="162"/>
      <c r="E180" s="191"/>
      <c r="F180" s="191"/>
      <c r="G180" s="189"/>
      <c r="H180" s="189"/>
      <c r="I180" s="189"/>
      <c r="J180" s="189"/>
      <c r="K180" s="189"/>
      <c r="L180" s="189"/>
      <c r="M180" s="29"/>
      <c r="N180" s="171"/>
    </row>
    <row r="181" spans="2:14" hidden="1">
      <c r="B181" s="166"/>
      <c r="C181" s="163"/>
      <c r="D181" s="163"/>
      <c r="E181" s="192"/>
      <c r="F181" s="192"/>
      <c r="G181" s="190"/>
      <c r="H181" s="190"/>
      <c r="I181" s="190"/>
      <c r="J181" s="190"/>
      <c r="K181" s="190"/>
      <c r="L181" s="190"/>
      <c r="M181" s="26"/>
      <c r="N181" s="172"/>
    </row>
    <row r="182" spans="2:14" hidden="1">
      <c r="B182" s="165"/>
      <c r="C182" s="162"/>
      <c r="D182" s="162"/>
      <c r="E182" s="191"/>
      <c r="F182" s="191"/>
      <c r="G182" s="189"/>
      <c r="H182" s="189"/>
      <c r="I182" s="189"/>
      <c r="J182" s="189"/>
      <c r="K182" s="189"/>
      <c r="L182" s="189"/>
      <c r="M182" s="29"/>
      <c r="N182" s="171"/>
    </row>
    <row r="183" spans="2:14" hidden="1">
      <c r="B183" s="166"/>
      <c r="C183" s="163"/>
      <c r="D183" s="163"/>
      <c r="E183" s="192"/>
      <c r="F183" s="192"/>
      <c r="G183" s="190"/>
      <c r="H183" s="190"/>
      <c r="I183" s="190"/>
      <c r="J183" s="190"/>
      <c r="K183" s="190"/>
      <c r="L183" s="190"/>
      <c r="M183" s="26"/>
      <c r="N183" s="172"/>
    </row>
    <row r="184" spans="2:14" hidden="1">
      <c r="B184" s="165"/>
      <c r="C184" s="162"/>
      <c r="D184" s="162"/>
      <c r="E184" s="191"/>
      <c r="F184" s="191"/>
      <c r="G184" s="189"/>
      <c r="H184" s="189"/>
      <c r="I184" s="189"/>
      <c r="J184" s="189"/>
      <c r="K184" s="189"/>
      <c r="L184" s="189"/>
      <c r="M184" s="29"/>
      <c r="N184" s="171"/>
    </row>
    <row r="185" spans="2:14" hidden="1">
      <c r="B185" s="166"/>
      <c r="C185" s="163"/>
      <c r="D185" s="163"/>
      <c r="E185" s="192"/>
      <c r="F185" s="192"/>
      <c r="G185" s="190"/>
      <c r="H185" s="190"/>
      <c r="I185" s="190"/>
      <c r="J185" s="190"/>
      <c r="K185" s="190"/>
      <c r="L185" s="190"/>
      <c r="M185" s="26"/>
      <c r="N185" s="172"/>
    </row>
    <row r="186" spans="2:14" hidden="1">
      <c r="B186" s="165"/>
      <c r="C186" s="162"/>
      <c r="D186" s="162"/>
      <c r="E186" s="191"/>
      <c r="F186" s="191"/>
      <c r="G186" s="189"/>
      <c r="H186" s="189"/>
      <c r="I186" s="189"/>
      <c r="J186" s="189"/>
      <c r="K186" s="189"/>
      <c r="L186" s="189"/>
      <c r="M186" s="29"/>
      <c r="N186" s="171"/>
    </row>
    <row r="187" spans="2:14" hidden="1">
      <c r="B187" s="166"/>
      <c r="C187" s="163"/>
      <c r="D187" s="163"/>
      <c r="E187" s="192"/>
      <c r="F187" s="192"/>
      <c r="G187" s="190"/>
      <c r="H187" s="190"/>
      <c r="I187" s="190"/>
      <c r="J187" s="190"/>
      <c r="K187" s="190"/>
      <c r="L187" s="190"/>
      <c r="M187" s="26"/>
      <c r="N187" s="172"/>
    </row>
    <row r="188" spans="2:14" hidden="1">
      <c r="B188" s="165"/>
      <c r="C188" s="162"/>
      <c r="D188" s="162"/>
      <c r="E188" s="191"/>
      <c r="F188" s="191"/>
      <c r="G188" s="189"/>
      <c r="H188" s="189"/>
      <c r="I188" s="189"/>
      <c r="J188" s="189"/>
      <c r="K188" s="189"/>
      <c r="L188" s="189"/>
      <c r="M188" s="29"/>
      <c r="N188" s="171"/>
    </row>
    <row r="189" spans="2:14" hidden="1">
      <c r="B189" s="166"/>
      <c r="C189" s="163"/>
      <c r="D189" s="163"/>
      <c r="E189" s="192"/>
      <c r="F189" s="192"/>
      <c r="G189" s="190"/>
      <c r="H189" s="190"/>
      <c r="I189" s="190"/>
      <c r="J189" s="190"/>
      <c r="K189" s="190"/>
      <c r="L189" s="190"/>
      <c r="M189" s="26"/>
      <c r="N189" s="172"/>
    </row>
    <row r="190" spans="2:14" hidden="1">
      <c r="B190" s="165"/>
      <c r="C190" s="162"/>
      <c r="D190" s="162"/>
      <c r="E190" s="191"/>
      <c r="F190" s="191"/>
      <c r="G190" s="189"/>
      <c r="H190" s="189"/>
      <c r="I190" s="189"/>
      <c r="J190" s="189"/>
      <c r="K190" s="189"/>
      <c r="L190" s="189"/>
      <c r="M190" s="29"/>
      <c r="N190" s="171"/>
    </row>
    <row r="191" spans="2:14" hidden="1">
      <c r="B191" s="166"/>
      <c r="C191" s="163"/>
      <c r="D191" s="163"/>
      <c r="E191" s="192"/>
      <c r="F191" s="192"/>
      <c r="G191" s="190"/>
      <c r="H191" s="190"/>
      <c r="I191" s="190"/>
      <c r="J191" s="190"/>
      <c r="K191" s="190"/>
      <c r="L191" s="190"/>
      <c r="M191" s="26"/>
      <c r="N191" s="172"/>
    </row>
    <row r="192" spans="2:14" hidden="1">
      <c r="B192" s="165"/>
      <c r="C192" s="162"/>
      <c r="D192" s="162"/>
      <c r="E192" s="191"/>
      <c r="F192" s="191"/>
      <c r="G192" s="189"/>
      <c r="H192" s="189"/>
      <c r="I192" s="189"/>
      <c r="J192" s="189"/>
      <c r="K192" s="189"/>
      <c r="L192" s="189"/>
      <c r="M192" s="29"/>
      <c r="N192" s="171"/>
    </row>
    <row r="193" spans="2:14" hidden="1">
      <c r="B193" s="166"/>
      <c r="C193" s="163"/>
      <c r="D193" s="163"/>
      <c r="E193" s="192"/>
      <c r="F193" s="192"/>
      <c r="G193" s="190"/>
      <c r="H193" s="190"/>
      <c r="I193" s="190"/>
      <c r="J193" s="190"/>
      <c r="K193" s="190"/>
      <c r="L193" s="190"/>
      <c r="M193" s="26"/>
      <c r="N193" s="172"/>
    </row>
    <row r="194" spans="2:14" hidden="1">
      <c r="B194" s="165"/>
      <c r="C194" s="162"/>
      <c r="D194" s="162"/>
      <c r="E194" s="191"/>
      <c r="F194" s="191"/>
      <c r="G194" s="189"/>
      <c r="H194" s="189"/>
      <c r="I194" s="189"/>
      <c r="J194" s="189"/>
      <c r="K194" s="189"/>
      <c r="L194" s="189"/>
      <c r="M194" s="29"/>
      <c r="N194" s="171"/>
    </row>
    <row r="195" spans="2:14" hidden="1">
      <c r="B195" s="166"/>
      <c r="C195" s="163"/>
      <c r="D195" s="163"/>
      <c r="E195" s="192"/>
      <c r="F195" s="192"/>
      <c r="G195" s="190"/>
      <c r="H195" s="190"/>
      <c r="I195" s="190"/>
      <c r="J195" s="190"/>
      <c r="K195" s="190"/>
      <c r="L195" s="190"/>
      <c r="M195" s="26"/>
      <c r="N195" s="172"/>
    </row>
    <row r="196" spans="2:14" hidden="1">
      <c r="B196" s="165"/>
      <c r="C196" s="162"/>
      <c r="D196" s="162"/>
      <c r="E196" s="191"/>
      <c r="F196" s="191"/>
      <c r="G196" s="189"/>
      <c r="H196" s="189"/>
      <c r="I196" s="189"/>
      <c r="J196" s="189"/>
      <c r="K196" s="189"/>
      <c r="L196" s="189"/>
      <c r="M196" s="29"/>
      <c r="N196" s="171"/>
    </row>
    <row r="197" spans="2:14" hidden="1">
      <c r="B197" s="166"/>
      <c r="C197" s="163"/>
      <c r="D197" s="163"/>
      <c r="E197" s="192"/>
      <c r="F197" s="192"/>
      <c r="G197" s="190"/>
      <c r="H197" s="190"/>
      <c r="I197" s="190"/>
      <c r="J197" s="190"/>
      <c r="K197" s="190"/>
      <c r="L197" s="190"/>
      <c r="M197" s="26"/>
      <c r="N197" s="172"/>
    </row>
    <row r="198" spans="2:14" hidden="1">
      <c r="B198" s="165"/>
      <c r="C198" s="162"/>
      <c r="D198" s="162"/>
      <c r="E198" s="191"/>
      <c r="F198" s="191"/>
      <c r="G198" s="189"/>
      <c r="H198" s="189"/>
      <c r="I198" s="189"/>
      <c r="J198" s="189"/>
      <c r="K198" s="189"/>
      <c r="L198" s="189"/>
      <c r="M198" s="29"/>
      <c r="N198" s="171"/>
    </row>
    <row r="199" spans="2:14" hidden="1">
      <c r="B199" s="166"/>
      <c r="C199" s="163"/>
      <c r="D199" s="163"/>
      <c r="E199" s="192"/>
      <c r="F199" s="192"/>
      <c r="G199" s="190"/>
      <c r="H199" s="190"/>
      <c r="I199" s="190"/>
      <c r="J199" s="190"/>
      <c r="K199" s="190"/>
      <c r="L199" s="190"/>
      <c r="M199" s="26"/>
      <c r="N199" s="172"/>
    </row>
    <row r="200" spans="2:14" hidden="1">
      <c r="B200" s="165"/>
      <c r="C200" s="162"/>
      <c r="D200" s="162"/>
      <c r="E200" s="191"/>
      <c r="F200" s="191"/>
      <c r="G200" s="189"/>
      <c r="H200" s="189"/>
      <c r="I200" s="189"/>
      <c r="J200" s="189"/>
      <c r="K200" s="189"/>
      <c r="L200" s="189"/>
      <c r="M200" s="29"/>
      <c r="N200" s="171"/>
    </row>
    <row r="201" spans="2:14" hidden="1">
      <c r="B201" s="166"/>
      <c r="C201" s="163"/>
      <c r="D201" s="163"/>
      <c r="E201" s="192"/>
      <c r="F201" s="192"/>
      <c r="G201" s="190"/>
      <c r="H201" s="190"/>
      <c r="I201" s="190"/>
      <c r="J201" s="190"/>
      <c r="K201" s="190"/>
      <c r="L201" s="190"/>
      <c r="M201" s="26"/>
      <c r="N201" s="172"/>
    </row>
    <row r="202" spans="2:14" hidden="1">
      <c r="B202" s="165"/>
      <c r="C202" s="162"/>
      <c r="D202" s="162"/>
      <c r="E202" s="191"/>
      <c r="F202" s="191"/>
      <c r="G202" s="189"/>
      <c r="H202" s="189"/>
      <c r="I202" s="189"/>
      <c r="J202" s="189"/>
      <c r="K202" s="189"/>
      <c r="L202" s="189"/>
      <c r="M202" s="29"/>
      <c r="N202" s="171"/>
    </row>
    <row r="203" spans="2:14" hidden="1">
      <c r="B203" s="166"/>
      <c r="C203" s="163"/>
      <c r="D203" s="163"/>
      <c r="E203" s="192"/>
      <c r="F203" s="192"/>
      <c r="G203" s="190"/>
      <c r="H203" s="190"/>
      <c r="I203" s="190"/>
      <c r="J203" s="190"/>
      <c r="K203" s="190"/>
      <c r="L203" s="190"/>
      <c r="M203" s="26"/>
      <c r="N203" s="172"/>
    </row>
    <row r="204" spans="2:14" hidden="1">
      <c r="B204" s="165"/>
      <c r="C204" s="162"/>
      <c r="D204" s="162"/>
      <c r="E204" s="191"/>
      <c r="F204" s="191"/>
      <c r="G204" s="189"/>
      <c r="H204" s="189"/>
      <c r="I204" s="189"/>
      <c r="J204" s="189"/>
      <c r="K204" s="189"/>
      <c r="L204" s="189"/>
      <c r="M204" s="29"/>
      <c r="N204" s="171"/>
    </row>
    <row r="205" spans="2:14" hidden="1">
      <c r="B205" s="166"/>
      <c r="C205" s="163"/>
      <c r="D205" s="163"/>
      <c r="E205" s="192"/>
      <c r="F205" s="192"/>
      <c r="G205" s="190"/>
      <c r="H205" s="190"/>
      <c r="I205" s="190"/>
      <c r="J205" s="190"/>
      <c r="K205" s="190"/>
      <c r="L205" s="190"/>
      <c r="M205" s="26"/>
      <c r="N205" s="172"/>
    </row>
    <row r="206" spans="2:14" hidden="1">
      <c r="B206" s="165"/>
      <c r="C206" s="162"/>
      <c r="D206" s="162"/>
      <c r="E206" s="191"/>
      <c r="F206" s="191"/>
      <c r="G206" s="189"/>
      <c r="H206" s="189"/>
      <c r="I206" s="189"/>
      <c r="J206" s="189"/>
      <c r="K206" s="189"/>
      <c r="L206" s="189"/>
      <c r="M206" s="29"/>
      <c r="N206" s="171"/>
    </row>
    <row r="207" spans="2:14" hidden="1">
      <c r="B207" s="166"/>
      <c r="C207" s="163"/>
      <c r="D207" s="163"/>
      <c r="E207" s="192"/>
      <c r="F207" s="192"/>
      <c r="G207" s="190"/>
      <c r="H207" s="190"/>
      <c r="I207" s="190"/>
      <c r="J207" s="190"/>
      <c r="K207" s="190"/>
      <c r="L207" s="190"/>
      <c r="M207" s="26"/>
      <c r="N207" s="172"/>
    </row>
    <row r="208" spans="2:14" hidden="1">
      <c r="B208" s="165"/>
      <c r="C208" s="162"/>
      <c r="D208" s="162"/>
      <c r="E208" s="191"/>
      <c r="F208" s="191"/>
      <c r="G208" s="189"/>
      <c r="H208" s="189"/>
      <c r="I208" s="189"/>
      <c r="J208" s="189"/>
      <c r="K208" s="189"/>
      <c r="L208" s="189"/>
      <c r="M208" s="29"/>
      <c r="N208" s="171"/>
    </row>
    <row r="209" spans="2:14" hidden="1">
      <c r="B209" s="166"/>
      <c r="C209" s="163"/>
      <c r="D209" s="163"/>
      <c r="E209" s="192"/>
      <c r="F209" s="192"/>
      <c r="G209" s="190"/>
      <c r="H209" s="190"/>
      <c r="I209" s="190"/>
      <c r="J209" s="190"/>
      <c r="K209" s="190"/>
      <c r="L209" s="190"/>
      <c r="M209" s="26"/>
      <c r="N209" s="172"/>
    </row>
    <row r="210" spans="2:14" hidden="1">
      <c r="B210" s="165"/>
      <c r="C210" s="162"/>
      <c r="D210" s="162"/>
      <c r="E210" s="191"/>
      <c r="F210" s="191"/>
      <c r="G210" s="189"/>
      <c r="H210" s="189"/>
      <c r="I210" s="189"/>
      <c r="J210" s="189"/>
      <c r="K210" s="189"/>
      <c r="L210" s="189"/>
      <c r="M210" s="29"/>
      <c r="N210" s="171"/>
    </row>
    <row r="211" spans="2:14" hidden="1">
      <c r="B211" s="166"/>
      <c r="C211" s="163"/>
      <c r="D211" s="163"/>
      <c r="E211" s="192"/>
      <c r="F211" s="192"/>
      <c r="G211" s="190"/>
      <c r="H211" s="190"/>
      <c r="I211" s="190"/>
      <c r="J211" s="190"/>
      <c r="K211" s="190"/>
      <c r="L211" s="190"/>
      <c r="M211" s="26"/>
      <c r="N211" s="172"/>
    </row>
    <row r="212" spans="2:14" hidden="1">
      <c r="B212" s="165"/>
      <c r="C212" s="162"/>
      <c r="D212" s="162"/>
      <c r="E212" s="191"/>
      <c r="F212" s="191"/>
      <c r="G212" s="189"/>
      <c r="H212" s="189"/>
      <c r="I212" s="189"/>
      <c r="J212" s="189"/>
      <c r="K212" s="189"/>
      <c r="L212" s="189"/>
      <c r="M212" s="29"/>
      <c r="N212" s="171"/>
    </row>
    <row r="213" spans="2:14" hidden="1">
      <c r="B213" s="166"/>
      <c r="C213" s="163"/>
      <c r="D213" s="163"/>
      <c r="E213" s="192"/>
      <c r="F213" s="192"/>
      <c r="G213" s="190"/>
      <c r="H213" s="190"/>
      <c r="I213" s="190"/>
      <c r="J213" s="190"/>
      <c r="K213" s="190"/>
      <c r="L213" s="190"/>
      <c r="M213" s="26"/>
      <c r="N213" s="172"/>
    </row>
    <row r="214" spans="2:14" hidden="1">
      <c r="B214" s="165"/>
      <c r="C214" s="162"/>
      <c r="D214" s="162"/>
      <c r="E214" s="191"/>
      <c r="F214" s="191"/>
      <c r="G214" s="189"/>
      <c r="H214" s="189"/>
      <c r="I214" s="189"/>
      <c r="J214" s="189"/>
      <c r="K214" s="189"/>
      <c r="L214" s="189"/>
      <c r="M214" s="29"/>
      <c r="N214" s="171"/>
    </row>
    <row r="215" spans="2:14" hidden="1">
      <c r="B215" s="166"/>
      <c r="C215" s="163"/>
      <c r="D215" s="163"/>
      <c r="E215" s="192"/>
      <c r="F215" s="192"/>
      <c r="G215" s="190"/>
      <c r="H215" s="190"/>
      <c r="I215" s="190"/>
      <c r="J215" s="190"/>
      <c r="K215" s="190"/>
      <c r="L215" s="190"/>
      <c r="M215" s="26"/>
      <c r="N215" s="172"/>
    </row>
    <row r="216" spans="2:14" hidden="1">
      <c r="B216" s="165"/>
      <c r="C216" s="162"/>
      <c r="D216" s="162"/>
      <c r="E216" s="191"/>
      <c r="F216" s="191"/>
      <c r="G216" s="189"/>
      <c r="H216" s="189"/>
      <c r="I216" s="189"/>
      <c r="J216" s="189"/>
      <c r="K216" s="189"/>
      <c r="L216" s="189"/>
      <c r="M216" s="29"/>
      <c r="N216" s="171"/>
    </row>
    <row r="217" spans="2:14" hidden="1">
      <c r="B217" s="166"/>
      <c r="C217" s="163"/>
      <c r="D217" s="163"/>
      <c r="E217" s="192"/>
      <c r="F217" s="192"/>
      <c r="G217" s="190"/>
      <c r="H217" s="190"/>
      <c r="I217" s="190"/>
      <c r="J217" s="190"/>
      <c r="K217" s="190"/>
      <c r="L217" s="190"/>
      <c r="M217" s="26"/>
      <c r="N217" s="172"/>
    </row>
    <row r="218" spans="2:14" hidden="1">
      <c r="B218" s="165"/>
      <c r="C218" s="162"/>
      <c r="D218" s="162"/>
      <c r="E218" s="191"/>
      <c r="F218" s="191"/>
      <c r="G218" s="189"/>
      <c r="H218" s="189"/>
      <c r="I218" s="189"/>
      <c r="J218" s="189"/>
      <c r="K218" s="189"/>
      <c r="L218" s="189"/>
      <c r="M218" s="29"/>
      <c r="N218" s="171"/>
    </row>
    <row r="219" spans="2:14" hidden="1">
      <c r="B219" s="166"/>
      <c r="C219" s="163"/>
      <c r="D219" s="163"/>
      <c r="E219" s="192"/>
      <c r="F219" s="192"/>
      <c r="G219" s="190"/>
      <c r="H219" s="190"/>
      <c r="I219" s="190"/>
      <c r="J219" s="190"/>
      <c r="K219" s="190"/>
      <c r="L219" s="190"/>
      <c r="M219" s="26"/>
      <c r="N219" s="172"/>
    </row>
    <row r="220" spans="2:14">
      <c r="B220" s="161"/>
      <c r="C220" s="159"/>
      <c r="D220" s="159"/>
      <c r="E220" s="159"/>
      <c r="F220" s="159"/>
      <c r="G220" s="159"/>
      <c r="H220" s="159"/>
      <c r="I220" s="159"/>
      <c r="J220" s="159"/>
      <c r="K220" s="159"/>
      <c r="L220" s="159"/>
      <c r="M220" s="159"/>
      <c r="N220" s="160"/>
    </row>
    <row r="221" spans="2:14">
      <c r="B221" s="265" t="s">
        <v>933</v>
      </c>
      <c r="C221" s="265"/>
      <c r="D221" s="265"/>
      <c r="E221" s="265"/>
      <c r="F221" s="265"/>
      <c r="G221" s="265"/>
      <c r="H221" s="265"/>
      <c r="I221" s="265"/>
      <c r="J221" s="265"/>
      <c r="K221" s="265"/>
      <c r="L221" s="265"/>
      <c r="M221" s="265"/>
      <c r="N221" s="265"/>
    </row>
  </sheetData>
  <autoFilter ref="B9:N9"/>
  <mergeCells count="4">
    <mergeCell ref="G4:J4"/>
    <mergeCell ref="G2:J2"/>
    <mergeCell ref="G5:J5"/>
    <mergeCell ref="B221:N221"/>
  </mergeCells>
  <phoneticPr fontId="3" type="noConversion"/>
  <conditionalFormatting sqref="G10">
    <cfRule type="containsText" dxfId="1291" priority="1258" operator="containsText" text="NA">
      <formula>NOT(ISERROR(SEARCH("NA",G10)))</formula>
    </cfRule>
    <cfRule type="cellIs" dxfId="1290" priority="1260" operator="greaterThan">
      <formula>0.05</formula>
    </cfRule>
  </conditionalFormatting>
  <conditionalFormatting sqref="G10">
    <cfRule type="cellIs" dxfId="1289" priority="1257" operator="between">
      <formula>-0.05</formula>
      <formula>0.05</formula>
    </cfRule>
    <cfRule type="cellIs" dxfId="1288" priority="1259" operator="lessThan">
      <formula>-0.05</formula>
    </cfRule>
  </conditionalFormatting>
  <conditionalFormatting sqref="H10:L10">
    <cfRule type="containsText" dxfId="1287" priority="1254" operator="containsText" text="NA">
      <formula>NOT(ISERROR(SEARCH("NA",H10)))</formula>
    </cfRule>
    <cfRule type="cellIs" dxfId="1286" priority="1256" operator="greaterThan">
      <formula>0.05</formula>
    </cfRule>
  </conditionalFormatting>
  <conditionalFormatting sqref="H10:L10">
    <cfRule type="cellIs" dxfId="1285" priority="1253" operator="between">
      <formula>-0.05</formula>
      <formula>0.05</formula>
    </cfRule>
    <cfRule type="cellIs" dxfId="1284" priority="1255" operator="lessThan">
      <formula>-0.05</formula>
    </cfRule>
  </conditionalFormatting>
  <conditionalFormatting sqref="G11:L11">
    <cfRule type="containsText" dxfId="1283" priority="1250" operator="containsText" text="NA">
      <formula>NOT(ISERROR(SEARCH("NA",G11)))</formula>
    </cfRule>
    <cfRule type="cellIs" dxfId="1282" priority="1252" operator="greaterThan">
      <formula>0.05</formula>
    </cfRule>
  </conditionalFormatting>
  <conditionalFormatting sqref="G11:L11">
    <cfRule type="cellIs" dxfId="1281" priority="1249" operator="between">
      <formula>-0.05</formula>
      <formula>0.05</formula>
    </cfRule>
    <cfRule type="cellIs" dxfId="1280" priority="1251" operator="lessThan">
      <formula>-0.05</formula>
    </cfRule>
  </conditionalFormatting>
  <conditionalFormatting sqref="G12">
    <cfRule type="containsText" dxfId="1279" priority="1246" operator="containsText" text="NA">
      <formula>NOT(ISERROR(SEARCH("NA",G12)))</formula>
    </cfRule>
    <cfRule type="cellIs" dxfId="1278" priority="1248" operator="greaterThan">
      <formula>0.05</formula>
    </cfRule>
  </conditionalFormatting>
  <conditionalFormatting sqref="G12">
    <cfRule type="cellIs" dxfId="1277" priority="1245" operator="between">
      <formula>-0.05</formula>
      <formula>0.05</formula>
    </cfRule>
    <cfRule type="cellIs" dxfId="1276" priority="1247" operator="lessThan">
      <formula>-0.05</formula>
    </cfRule>
  </conditionalFormatting>
  <conditionalFormatting sqref="H12:L12">
    <cfRule type="containsText" dxfId="1275" priority="1242" operator="containsText" text="NA">
      <formula>NOT(ISERROR(SEARCH("NA",H12)))</formula>
    </cfRule>
    <cfRule type="cellIs" dxfId="1274" priority="1244" operator="greaterThan">
      <formula>0.05</formula>
    </cfRule>
  </conditionalFormatting>
  <conditionalFormatting sqref="H12:L12">
    <cfRule type="cellIs" dxfId="1273" priority="1241" operator="between">
      <formula>-0.05</formula>
      <formula>0.05</formula>
    </cfRule>
    <cfRule type="cellIs" dxfId="1272" priority="1243" operator="lessThan">
      <formula>-0.05</formula>
    </cfRule>
  </conditionalFormatting>
  <conditionalFormatting sqref="G13:L13">
    <cfRule type="containsText" dxfId="1271" priority="1238" operator="containsText" text="NA">
      <formula>NOT(ISERROR(SEARCH("NA",G13)))</formula>
    </cfRule>
    <cfRule type="cellIs" dxfId="1270" priority="1240" operator="greaterThan">
      <formula>0.05</formula>
    </cfRule>
  </conditionalFormatting>
  <conditionalFormatting sqref="G13:L13">
    <cfRule type="cellIs" dxfId="1269" priority="1237" operator="between">
      <formula>-0.05</formula>
      <formula>0.05</formula>
    </cfRule>
    <cfRule type="cellIs" dxfId="1268" priority="1239" operator="lessThan">
      <formula>-0.05</formula>
    </cfRule>
  </conditionalFormatting>
  <conditionalFormatting sqref="G14">
    <cfRule type="containsText" dxfId="1267" priority="1234" operator="containsText" text="NA">
      <formula>NOT(ISERROR(SEARCH("NA",G14)))</formula>
    </cfRule>
    <cfRule type="cellIs" dxfId="1266" priority="1236" operator="greaterThan">
      <formula>0.05</formula>
    </cfRule>
  </conditionalFormatting>
  <conditionalFormatting sqref="G14">
    <cfRule type="cellIs" dxfId="1265" priority="1233" operator="between">
      <formula>-0.05</formula>
      <formula>0.05</formula>
    </cfRule>
    <cfRule type="cellIs" dxfId="1264" priority="1235" operator="lessThan">
      <formula>-0.05</formula>
    </cfRule>
  </conditionalFormatting>
  <conditionalFormatting sqref="H14:L14">
    <cfRule type="containsText" dxfId="1263" priority="1230" operator="containsText" text="NA">
      <formula>NOT(ISERROR(SEARCH("NA",H14)))</formula>
    </cfRule>
    <cfRule type="cellIs" dxfId="1262" priority="1232" operator="greaterThan">
      <formula>0.05</formula>
    </cfRule>
  </conditionalFormatting>
  <conditionalFormatting sqref="H14:L14">
    <cfRule type="cellIs" dxfId="1261" priority="1229" operator="between">
      <formula>-0.05</formula>
      <formula>0.05</formula>
    </cfRule>
    <cfRule type="cellIs" dxfId="1260" priority="1231" operator="lessThan">
      <formula>-0.05</formula>
    </cfRule>
  </conditionalFormatting>
  <conditionalFormatting sqref="G15:L15">
    <cfRule type="containsText" dxfId="1259" priority="1226" operator="containsText" text="NA">
      <formula>NOT(ISERROR(SEARCH("NA",G15)))</formula>
    </cfRule>
    <cfRule type="cellIs" dxfId="1258" priority="1228" operator="greaterThan">
      <formula>0.05</formula>
    </cfRule>
  </conditionalFormatting>
  <conditionalFormatting sqref="G15:L15">
    <cfRule type="cellIs" dxfId="1257" priority="1225" operator="between">
      <formula>-0.05</formula>
      <formula>0.05</formula>
    </cfRule>
    <cfRule type="cellIs" dxfId="1256" priority="1227" operator="lessThan">
      <formula>-0.05</formula>
    </cfRule>
  </conditionalFormatting>
  <conditionalFormatting sqref="G16">
    <cfRule type="containsText" dxfId="1255" priority="1222" operator="containsText" text="NA">
      <formula>NOT(ISERROR(SEARCH("NA",G16)))</formula>
    </cfRule>
    <cfRule type="cellIs" dxfId="1254" priority="1224" operator="greaterThan">
      <formula>0.05</formula>
    </cfRule>
  </conditionalFormatting>
  <conditionalFormatting sqref="G16">
    <cfRule type="cellIs" dxfId="1253" priority="1221" operator="between">
      <formula>-0.05</formula>
      <formula>0.05</formula>
    </cfRule>
    <cfRule type="cellIs" dxfId="1252" priority="1223" operator="lessThan">
      <formula>-0.05</formula>
    </cfRule>
  </conditionalFormatting>
  <conditionalFormatting sqref="H16:L16">
    <cfRule type="containsText" dxfId="1251" priority="1218" operator="containsText" text="NA">
      <formula>NOT(ISERROR(SEARCH("NA",H16)))</formula>
    </cfRule>
    <cfRule type="cellIs" dxfId="1250" priority="1220" operator="greaterThan">
      <formula>0.05</formula>
    </cfRule>
  </conditionalFormatting>
  <conditionalFormatting sqref="H16:L16">
    <cfRule type="cellIs" dxfId="1249" priority="1217" operator="between">
      <formula>-0.05</formula>
      <formula>0.05</formula>
    </cfRule>
    <cfRule type="cellIs" dxfId="1248" priority="1219" operator="lessThan">
      <formula>-0.05</formula>
    </cfRule>
  </conditionalFormatting>
  <conditionalFormatting sqref="G17:L17">
    <cfRule type="containsText" dxfId="1247" priority="1214" operator="containsText" text="NA">
      <formula>NOT(ISERROR(SEARCH("NA",G17)))</formula>
    </cfRule>
    <cfRule type="cellIs" dxfId="1246" priority="1216" operator="greaterThan">
      <formula>0.05</formula>
    </cfRule>
  </conditionalFormatting>
  <conditionalFormatting sqref="G17:L17">
    <cfRule type="cellIs" dxfId="1245" priority="1213" operator="between">
      <formula>-0.05</formula>
      <formula>0.05</formula>
    </cfRule>
    <cfRule type="cellIs" dxfId="1244" priority="1215" operator="lessThan">
      <formula>-0.05</formula>
    </cfRule>
  </conditionalFormatting>
  <conditionalFormatting sqref="G18">
    <cfRule type="containsText" dxfId="1243" priority="1210" operator="containsText" text="NA">
      <formula>NOT(ISERROR(SEARCH("NA",G18)))</formula>
    </cfRule>
    <cfRule type="cellIs" dxfId="1242" priority="1212" operator="greaterThan">
      <formula>0.05</formula>
    </cfRule>
  </conditionalFormatting>
  <conditionalFormatting sqref="G18">
    <cfRule type="cellIs" dxfId="1241" priority="1209" operator="between">
      <formula>-0.05</formula>
      <formula>0.05</formula>
    </cfRule>
    <cfRule type="cellIs" dxfId="1240" priority="1211" operator="lessThan">
      <formula>-0.05</formula>
    </cfRule>
  </conditionalFormatting>
  <conditionalFormatting sqref="H18:L18">
    <cfRule type="containsText" dxfId="1239" priority="1206" operator="containsText" text="NA">
      <formula>NOT(ISERROR(SEARCH("NA",H18)))</formula>
    </cfRule>
    <cfRule type="cellIs" dxfId="1238" priority="1208" operator="greaterThan">
      <formula>0.05</formula>
    </cfRule>
  </conditionalFormatting>
  <conditionalFormatting sqref="H18:L18">
    <cfRule type="cellIs" dxfId="1237" priority="1205" operator="between">
      <formula>-0.05</formula>
      <formula>0.05</formula>
    </cfRule>
    <cfRule type="cellIs" dxfId="1236" priority="1207" operator="lessThan">
      <formula>-0.05</formula>
    </cfRule>
  </conditionalFormatting>
  <conditionalFormatting sqref="G19:L19">
    <cfRule type="containsText" dxfId="1235" priority="1202" operator="containsText" text="NA">
      <formula>NOT(ISERROR(SEARCH("NA",G19)))</formula>
    </cfRule>
    <cfRule type="cellIs" dxfId="1234" priority="1204" operator="greaterThan">
      <formula>0.05</formula>
    </cfRule>
  </conditionalFormatting>
  <conditionalFormatting sqref="G19:L19">
    <cfRule type="cellIs" dxfId="1233" priority="1201" operator="between">
      <formula>-0.05</formula>
      <formula>0.05</formula>
    </cfRule>
    <cfRule type="cellIs" dxfId="1232" priority="1203" operator="lessThan">
      <formula>-0.05</formula>
    </cfRule>
  </conditionalFormatting>
  <conditionalFormatting sqref="G20">
    <cfRule type="containsText" dxfId="1231" priority="1198" operator="containsText" text="NA">
      <formula>NOT(ISERROR(SEARCH("NA",G20)))</formula>
    </cfRule>
    <cfRule type="cellIs" dxfId="1230" priority="1200" operator="greaterThan">
      <formula>0.05</formula>
    </cfRule>
  </conditionalFormatting>
  <conditionalFormatting sqref="G20">
    <cfRule type="cellIs" dxfId="1229" priority="1197" operator="between">
      <formula>-0.05</formula>
      <formula>0.05</formula>
    </cfRule>
    <cfRule type="cellIs" dxfId="1228" priority="1199" operator="lessThan">
      <formula>-0.05</formula>
    </cfRule>
  </conditionalFormatting>
  <conditionalFormatting sqref="H20:L20">
    <cfRule type="containsText" dxfId="1227" priority="1194" operator="containsText" text="NA">
      <formula>NOT(ISERROR(SEARCH("NA",H20)))</formula>
    </cfRule>
    <cfRule type="cellIs" dxfId="1226" priority="1196" operator="greaterThan">
      <formula>0.05</formula>
    </cfRule>
  </conditionalFormatting>
  <conditionalFormatting sqref="H20:L20">
    <cfRule type="cellIs" dxfId="1225" priority="1193" operator="between">
      <formula>-0.05</formula>
      <formula>0.05</formula>
    </cfRule>
    <cfRule type="cellIs" dxfId="1224" priority="1195" operator="lessThan">
      <formula>-0.05</formula>
    </cfRule>
  </conditionalFormatting>
  <conditionalFormatting sqref="G21:L21">
    <cfRule type="containsText" dxfId="1223" priority="1190" operator="containsText" text="NA">
      <formula>NOT(ISERROR(SEARCH("NA",G21)))</formula>
    </cfRule>
    <cfRule type="cellIs" dxfId="1222" priority="1192" operator="greaterThan">
      <formula>0.05</formula>
    </cfRule>
  </conditionalFormatting>
  <conditionalFormatting sqref="G21:L21">
    <cfRule type="cellIs" dxfId="1221" priority="1189" operator="between">
      <formula>-0.05</formula>
      <formula>0.05</formula>
    </cfRule>
    <cfRule type="cellIs" dxfId="1220" priority="1191" operator="lessThan">
      <formula>-0.05</formula>
    </cfRule>
  </conditionalFormatting>
  <conditionalFormatting sqref="G22">
    <cfRule type="containsText" dxfId="1219" priority="1186" operator="containsText" text="NA">
      <formula>NOT(ISERROR(SEARCH("NA",G22)))</formula>
    </cfRule>
    <cfRule type="cellIs" dxfId="1218" priority="1188" operator="greaterThan">
      <formula>0.05</formula>
    </cfRule>
  </conditionalFormatting>
  <conditionalFormatting sqref="G22">
    <cfRule type="cellIs" dxfId="1217" priority="1185" operator="between">
      <formula>-0.05</formula>
      <formula>0.05</formula>
    </cfRule>
    <cfRule type="cellIs" dxfId="1216" priority="1187" operator="lessThan">
      <formula>-0.05</formula>
    </cfRule>
  </conditionalFormatting>
  <conditionalFormatting sqref="H22:L22">
    <cfRule type="containsText" dxfId="1215" priority="1182" operator="containsText" text="NA">
      <formula>NOT(ISERROR(SEARCH("NA",H22)))</formula>
    </cfRule>
    <cfRule type="cellIs" dxfId="1214" priority="1184" operator="greaterThan">
      <formula>0.05</formula>
    </cfRule>
  </conditionalFormatting>
  <conditionalFormatting sqref="H22:L22">
    <cfRule type="cellIs" dxfId="1213" priority="1181" operator="between">
      <formula>-0.05</formula>
      <formula>0.05</formula>
    </cfRule>
    <cfRule type="cellIs" dxfId="1212" priority="1183" operator="lessThan">
      <formula>-0.05</formula>
    </cfRule>
  </conditionalFormatting>
  <conditionalFormatting sqref="G23:L23">
    <cfRule type="containsText" dxfId="1211" priority="1178" operator="containsText" text="NA">
      <formula>NOT(ISERROR(SEARCH("NA",G23)))</formula>
    </cfRule>
    <cfRule type="cellIs" dxfId="1210" priority="1180" operator="greaterThan">
      <formula>0.05</formula>
    </cfRule>
  </conditionalFormatting>
  <conditionalFormatting sqref="G23:L23">
    <cfRule type="cellIs" dxfId="1209" priority="1177" operator="between">
      <formula>-0.05</formula>
      <formula>0.05</formula>
    </cfRule>
    <cfRule type="cellIs" dxfId="1208" priority="1179" operator="lessThan">
      <formula>-0.05</formula>
    </cfRule>
  </conditionalFormatting>
  <conditionalFormatting sqref="G24">
    <cfRule type="containsText" dxfId="1207" priority="1174" operator="containsText" text="NA">
      <formula>NOT(ISERROR(SEARCH("NA",G24)))</formula>
    </cfRule>
    <cfRule type="cellIs" dxfId="1206" priority="1176" operator="greaterThan">
      <formula>0.05</formula>
    </cfRule>
  </conditionalFormatting>
  <conditionalFormatting sqref="G24">
    <cfRule type="cellIs" dxfId="1205" priority="1173" operator="between">
      <formula>-0.05</formula>
      <formula>0.05</formula>
    </cfRule>
    <cfRule type="cellIs" dxfId="1204" priority="1175" operator="lessThan">
      <formula>-0.05</formula>
    </cfRule>
  </conditionalFormatting>
  <conditionalFormatting sqref="H24:L24">
    <cfRule type="containsText" dxfId="1203" priority="1170" operator="containsText" text="NA">
      <formula>NOT(ISERROR(SEARCH("NA",H24)))</formula>
    </cfRule>
    <cfRule type="cellIs" dxfId="1202" priority="1172" operator="greaterThan">
      <formula>0.05</formula>
    </cfRule>
  </conditionalFormatting>
  <conditionalFormatting sqref="H24:L24">
    <cfRule type="cellIs" dxfId="1201" priority="1169" operator="between">
      <formula>-0.05</formula>
      <formula>0.05</formula>
    </cfRule>
    <cfRule type="cellIs" dxfId="1200" priority="1171" operator="lessThan">
      <formula>-0.05</formula>
    </cfRule>
  </conditionalFormatting>
  <conditionalFormatting sqref="G25:L25">
    <cfRule type="containsText" dxfId="1199" priority="1166" operator="containsText" text="NA">
      <formula>NOT(ISERROR(SEARCH("NA",G25)))</formula>
    </cfRule>
    <cfRule type="cellIs" dxfId="1198" priority="1168" operator="greaterThan">
      <formula>0.05</formula>
    </cfRule>
  </conditionalFormatting>
  <conditionalFormatting sqref="G25:L25">
    <cfRule type="cellIs" dxfId="1197" priority="1165" operator="between">
      <formula>-0.05</formula>
      <formula>0.05</formula>
    </cfRule>
    <cfRule type="cellIs" dxfId="1196" priority="1167" operator="lessThan">
      <formula>-0.05</formula>
    </cfRule>
  </conditionalFormatting>
  <conditionalFormatting sqref="G26">
    <cfRule type="containsText" dxfId="1195" priority="1162" operator="containsText" text="NA">
      <formula>NOT(ISERROR(SEARCH("NA",G26)))</formula>
    </cfRule>
    <cfRule type="cellIs" dxfId="1194" priority="1164" operator="greaterThan">
      <formula>0.05</formula>
    </cfRule>
  </conditionalFormatting>
  <conditionalFormatting sqref="G26">
    <cfRule type="cellIs" dxfId="1193" priority="1161" operator="between">
      <formula>-0.05</formula>
      <formula>0.05</formula>
    </cfRule>
    <cfRule type="cellIs" dxfId="1192" priority="1163" operator="lessThan">
      <formula>-0.05</formula>
    </cfRule>
  </conditionalFormatting>
  <conditionalFormatting sqref="H26:L26">
    <cfRule type="containsText" dxfId="1191" priority="1158" operator="containsText" text="NA">
      <formula>NOT(ISERROR(SEARCH("NA",H26)))</formula>
    </cfRule>
    <cfRule type="cellIs" dxfId="1190" priority="1160" operator="greaterThan">
      <formula>0.05</formula>
    </cfRule>
  </conditionalFormatting>
  <conditionalFormatting sqref="H26:L26">
    <cfRule type="cellIs" dxfId="1189" priority="1157" operator="between">
      <formula>-0.05</formula>
      <formula>0.05</formula>
    </cfRule>
    <cfRule type="cellIs" dxfId="1188" priority="1159" operator="lessThan">
      <formula>-0.05</formula>
    </cfRule>
  </conditionalFormatting>
  <conditionalFormatting sqref="G27:L27">
    <cfRule type="containsText" dxfId="1187" priority="1154" operator="containsText" text="NA">
      <formula>NOT(ISERROR(SEARCH("NA",G27)))</formula>
    </cfRule>
    <cfRule type="cellIs" dxfId="1186" priority="1156" operator="greaterThan">
      <formula>0.05</formula>
    </cfRule>
  </conditionalFormatting>
  <conditionalFormatting sqref="G27:L27">
    <cfRule type="cellIs" dxfId="1185" priority="1153" operator="between">
      <formula>-0.05</formula>
      <formula>0.05</formula>
    </cfRule>
    <cfRule type="cellIs" dxfId="1184" priority="1155" operator="lessThan">
      <formula>-0.05</formula>
    </cfRule>
  </conditionalFormatting>
  <conditionalFormatting sqref="G28">
    <cfRule type="containsText" dxfId="1183" priority="1150" operator="containsText" text="NA">
      <formula>NOT(ISERROR(SEARCH("NA",G28)))</formula>
    </cfRule>
    <cfRule type="cellIs" dxfId="1182" priority="1152" operator="greaterThan">
      <formula>0.05</formula>
    </cfRule>
  </conditionalFormatting>
  <conditionalFormatting sqref="G28">
    <cfRule type="cellIs" dxfId="1181" priority="1149" operator="between">
      <formula>-0.05</formula>
      <formula>0.05</formula>
    </cfRule>
    <cfRule type="cellIs" dxfId="1180" priority="1151" operator="lessThan">
      <formula>-0.05</formula>
    </cfRule>
  </conditionalFormatting>
  <conditionalFormatting sqref="H28:L28">
    <cfRule type="containsText" dxfId="1179" priority="1146" operator="containsText" text="NA">
      <formula>NOT(ISERROR(SEARCH("NA",H28)))</formula>
    </cfRule>
    <cfRule type="cellIs" dxfId="1178" priority="1148" operator="greaterThan">
      <formula>0.05</formula>
    </cfRule>
  </conditionalFormatting>
  <conditionalFormatting sqref="H28:L28">
    <cfRule type="cellIs" dxfId="1177" priority="1145" operator="between">
      <formula>-0.05</formula>
      <formula>0.05</formula>
    </cfRule>
    <cfRule type="cellIs" dxfId="1176" priority="1147" operator="lessThan">
      <formula>-0.05</formula>
    </cfRule>
  </conditionalFormatting>
  <conditionalFormatting sqref="G29:L29">
    <cfRule type="containsText" dxfId="1175" priority="1142" operator="containsText" text="NA">
      <formula>NOT(ISERROR(SEARCH("NA",G29)))</formula>
    </cfRule>
    <cfRule type="cellIs" dxfId="1174" priority="1144" operator="greaterThan">
      <formula>0.05</formula>
    </cfRule>
  </conditionalFormatting>
  <conditionalFormatting sqref="G29:L29">
    <cfRule type="cellIs" dxfId="1173" priority="1141" operator="between">
      <formula>-0.05</formula>
      <formula>0.05</formula>
    </cfRule>
    <cfRule type="cellIs" dxfId="1172" priority="1143" operator="lessThan">
      <formula>-0.05</formula>
    </cfRule>
  </conditionalFormatting>
  <conditionalFormatting sqref="G30">
    <cfRule type="containsText" dxfId="1171" priority="1138" operator="containsText" text="NA">
      <formula>NOT(ISERROR(SEARCH("NA",G30)))</formula>
    </cfRule>
    <cfRule type="cellIs" dxfId="1170" priority="1140" operator="greaterThan">
      <formula>0.05</formula>
    </cfRule>
  </conditionalFormatting>
  <conditionalFormatting sqref="G30">
    <cfRule type="cellIs" dxfId="1169" priority="1137" operator="between">
      <formula>-0.05</formula>
      <formula>0.05</formula>
    </cfRule>
    <cfRule type="cellIs" dxfId="1168" priority="1139" operator="lessThan">
      <formula>-0.05</formula>
    </cfRule>
  </conditionalFormatting>
  <conditionalFormatting sqref="H30:L30">
    <cfRule type="containsText" dxfId="1167" priority="1134" operator="containsText" text="NA">
      <formula>NOT(ISERROR(SEARCH("NA",H30)))</formula>
    </cfRule>
    <cfRule type="cellIs" dxfId="1166" priority="1136" operator="greaterThan">
      <formula>0.05</formula>
    </cfRule>
  </conditionalFormatting>
  <conditionalFormatting sqref="H30:L30">
    <cfRule type="cellIs" dxfId="1165" priority="1133" operator="between">
      <formula>-0.05</formula>
      <formula>0.05</formula>
    </cfRule>
    <cfRule type="cellIs" dxfId="1164" priority="1135" operator="lessThan">
      <formula>-0.05</formula>
    </cfRule>
  </conditionalFormatting>
  <conditionalFormatting sqref="G31:L31">
    <cfRule type="containsText" dxfId="1163" priority="1130" operator="containsText" text="NA">
      <formula>NOT(ISERROR(SEARCH("NA",G31)))</formula>
    </cfRule>
    <cfRule type="cellIs" dxfId="1162" priority="1132" operator="greaterThan">
      <formula>0.05</formula>
    </cfRule>
  </conditionalFormatting>
  <conditionalFormatting sqref="G31:L31">
    <cfRule type="cellIs" dxfId="1161" priority="1129" operator="between">
      <formula>-0.05</formula>
      <formula>0.05</formula>
    </cfRule>
    <cfRule type="cellIs" dxfId="1160" priority="1131" operator="lessThan">
      <formula>-0.05</formula>
    </cfRule>
  </conditionalFormatting>
  <conditionalFormatting sqref="G32">
    <cfRule type="containsText" dxfId="1159" priority="1126" operator="containsText" text="NA">
      <formula>NOT(ISERROR(SEARCH("NA",G32)))</formula>
    </cfRule>
    <cfRule type="cellIs" dxfId="1158" priority="1128" operator="greaterThan">
      <formula>0.05</formula>
    </cfRule>
  </conditionalFormatting>
  <conditionalFormatting sqref="G32">
    <cfRule type="cellIs" dxfId="1157" priority="1125" operator="between">
      <formula>-0.05</formula>
      <formula>0.05</formula>
    </cfRule>
    <cfRule type="cellIs" dxfId="1156" priority="1127" operator="lessThan">
      <formula>-0.05</formula>
    </cfRule>
  </conditionalFormatting>
  <conditionalFormatting sqref="H32:L32">
    <cfRule type="containsText" dxfId="1155" priority="1122" operator="containsText" text="NA">
      <formula>NOT(ISERROR(SEARCH("NA",H32)))</formula>
    </cfRule>
    <cfRule type="cellIs" dxfId="1154" priority="1124" operator="greaterThan">
      <formula>0.05</formula>
    </cfRule>
  </conditionalFormatting>
  <conditionalFormatting sqref="H32:L32">
    <cfRule type="cellIs" dxfId="1153" priority="1121" operator="between">
      <formula>-0.05</formula>
      <formula>0.05</formula>
    </cfRule>
    <cfRule type="cellIs" dxfId="1152" priority="1123" operator="lessThan">
      <formula>-0.05</formula>
    </cfRule>
  </conditionalFormatting>
  <conditionalFormatting sqref="G33:L33">
    <cfRule type="containsText" dxfId="1151" priority="1118" operator="containsText" text="NA">
      <formula>NOT(ISERROR(SEARCH("NA",G33)))</formula>
    </cfRule>
    <cfRule type="cellIs" dxfId="1150" priority="1120" operator="greaterThan">
      <formula>0.05</formula>
    </cfRule>
  </conditionalFormatting>
  <conditionalFormatting sqref="G33:L33">
    <cfRule type="cellIs" dxfId="1149" priority="1117" operator="between">
      <formula>-0.05</formula>
      <formula>0.05</formula>
    </cfRule>
    <cfRule type="cellIs" dxfId="1148" priority="1119" operator="lessThan">
      <formula>-0.05</formula>
    </cfRule>
  </conditionalFormatting>
  <conditionalFormatting sqref="G34">
    <cfRule type="containsText" dxfId="1147" priority="1114" operator="containsText" text="NA">
      <formula>NOT(ISERROR(SEARCH("NA",G34)))</formula>
    </cfRule>
    <cfRule type="cellIs" dxfId="1146" priority="1116" operator="greaterThan">
      <formula>0.05</formula>
    </cfRule>
  </conditionalFormatting>
  <conditionalFormatting sqref="G34">
    <cfRule type="cellIs" dxfId="1145" priority="1113" operator="between">
      <formula>-0.05</formula>
      <formula>0.05</formula>
    </cfRule>
    <cfRule type="cellIs" dxfId="1144" priority="1115" operator="lessThan">
      <formula>-0.05</formula>
    </cfRule>
  </conditionalFormatting>
  <conditionalFormatting sqref="H34:L34">
    <cfRule type="containsText" dxfId="1143" priority="1110" operator="containsText" text="NA">
      <formula>NOT(ISERROR(SEARCH("NA",H34)))</formula>
    </cfRule>
    <cfRule type="cellIs" dxfId="1142" priority="1112" operator="greaterThan">
      <formula>0.05</formula>
    </cfRule>
  </conditionalFormatting>
  <conditionalFormatting sqref="H34:L34">
    <cfRule type="cellIs" dxfId="1141" priority="1109" operator="between">
      <formula>-0.05</formula>
      <formula>0.05</formula>
    </cfRule>
    <cfRule type="cellIs" dxfId="1140" priority="1111" operator="lessThan">
      <formula>-0.05</formula>
    </cfRule>
  </conditionalFormatting>
  <conditionalFormatting sqref="G35:L35">
    <cfRule type="containsText" dxfId="1139" priority="1106" operator="containsText" text="NA">
      <formula>NOT(ISERROR(SEARCH("NA",G35)))</formula>
    </cfRule>
    <cfRule type="cellIs" dxfId="1138" priority="1108" operator="greaterThan">
      <formula>0.05</formula>
    </cfRule>
  </conditionalFormatting>
  <conditionalFormatting sqref="G35:L35">
    <cfRule type="cellIs" dxfId="1137" priority="1105" operator="between">
      <formula>-0.05</formula>
      <formula>0.05</formula>
    </cfRule>
    <cfRule type="cellIs" dxfId="1136" priority="1107" operator="lessThan">
      <formula>-0.05</formula>
    </cfRule>
  </conditionalFormatting>
  <conditionalFormatting sqref="G36">
    <cfRule type="containsText" dxfId="1135" priority="1102" operator="containsText" text="NA">
      <formula>NOT(ISERROR(SEARCH("NA",G36)))</formula>
    </cfRule>
    <cfRule type="cellIs" dxfId="1134" priority="1104" operator="greaterThan">
      <formula>0.05</formula>
    </cfRule>
  </conditionalFormatting>
  <conditionalFormatting sqref="G36">
    <cfRule type="cellIs" dxfId="1133" priority="1101" operator="between">
      <formula>-0.05</formula>
      <formula>0.05</formula>
    </cfRule>
    <cfRule type="cellIs" dxfId="1132" priority="1103" operator="lessThan">
      <formula>-0.05</formula>
    </cfRule>
  </conditionalFormatting>
  <conditionalFormatting sqref="H36:L36">
    <cfRule type="containsText" dxfId="1131" priority="1098" operator="containsText" text="NA">
      <formula>NOT(ISERROR(SEARCH("NA",H36)))</formula>
    </cfRule>
    <cfRule type="cellIs" dxfId="1130" priority="1100" operator="greaterThan">
      <formula>0.05</formula>
    </cfRule>
  </conditionalFormatting>
  <conditionalFormatting sqref="H36:L36">
    <cfRule type="cellIs" dxfId="1129" priority="1097" operator="between">
      <formula>-0.05</formula>
      <formula>0.05</formula>
    </cfRule>
    <cfRule type="cellIs" dxfId="1128" priority="1099" operator="lessThan">
      <formula>-0.05</formula>
    </cfRule>
  </conditionalFormatting>
  <conditionalFormatting sqref="G37:L37">
    <cfRule type="containsText" dxfId="1127" priority="1094" operator="containsText" text="NA">
      <formula>NOT(ISERROR(SEARCH("NA",G37)))</formula>
    </cfRule>
    <cfRule type="cellIs" dxfId="1126" priority="1096" operator="greaterThan">
      <formula>0.05</formula>
    </cfRule>
  </conditionalFormatting>
  <conditionalFormatting sqref="G37:L37">
    <cfRule type="cellIs" dxfId="1125" priority="1093" operator="between">
      <formula>-0.05</formula>
      <formula>0.05</formula>
    </cfRule>
    <cfRule type="cellIs" dxfId="1124" priority="1095" operator="lessThan">
      <formula>-0.05</formula>
    </cfRule>
  </conditionalFormatting>
  <conditionalFormatting sqref="G38">
    <cfRule type="containsText" dxfId="1123" priority="1090" operator="containsText" text="NA">
      <formula>NOT(ISERROR(SEARCH("NA",G38)))</formula>
    </cfRule>
    <cfRule type="cellIs" dxfId="1122" priority="1092" operator="greaterThan">
      <formula>0.05</formula>
    </cfRule>
  </conditionalFormatting>
  <conditionalFormatting sqref="G38">
    <cfRule type="cellIs" dxfId="1121" priority="1089" operator="between">
      <formula>-0.05</formula>
      <formula>0.05</formula>
    </cfRule>
    <cfRule type="cellIs" dxfId="1120" priority="1091" operator="lessThan">
      <formula>-0.05</formula>
    </cfRule>
  </conditionalFormatting>
  <conditionalFormatting sqref="H38:L38">
    <cfRule type="containsText" dxfId="1119" priority="1086" operator="containsText" text="NA">
      <formula>NOT(ISERROR(SEARCH("NA",H38)))</formula>
    </cfRule>
    <cfRule type="cellIs" dxfId="1118" priority="1088" operator="greaterThan">
      <formula>0.05</formula>
    </cfRule>
  </conditionalFormatting>
  <conditionalFormatting sqref="H38:L38">
    <cfRule type="cellIs" dxfId="1117" priority="1085" operator="between">
      <formula>-0.05</formula>
      <formula>0.05</formula>
    </cfRule>
    <cfRule type="cellIs" dxfId="1116" priority="1087" operator="lessThan">
      <formula>-0.05</formula>
    </cfRule>
  </conditionalFormatting>
  <conditionalFormatting sqref="G39:L39">
    <cfRule type="containsText" dxfId="1115" priority="1082" operator="containsText" text="NA">
      <formula>NOT(ISERROR(SEARCH("NA",G39)))</formula>
    </cfRule>
    <cfRule type="cellIs" dxfId="1114" priority="1084" operator="greaterThan">
      <formula>0.05</formula>
    </cfRule>
  </conditionalFormatting>
  <conditionalFormatting sqref="G39:L39">
    <cfRule type="cellIs" dxfId="1113" priority="1081" operator="between">
      <formula>-0.05</formula>
      <formula>0.05</formula>
    </cfRule>
    <cfRule type="cellIs" dxfId="1112" priority="1083" operator="lessThan">
      <formula>-0.05</formula>
    </cfRule>
  </conditionalFormatting>
  <conditionalFormatting sqref="G40">
    <cfRule type="containsText" dxfId="1111" priority="1078" operator="containsText" text="NA">
      <formula>NOT(ISERROR(SEARCH("NA",G40)))</formula>
    </cfRule>
    <cfRule type="cellIs" dxfId="1110" priority="1080" operator="greaterThan">
      <formula>0.05</formula>
    </cfRule>
  </conditionalFormatting>
  <conditionalFormatting sqref="G40">
    <cfRule type="cellIs" dxfId="1109" priority="1077" operator="between">
      <formula>-0.05</formula>
      <formula>0.05</formula>
    </cfRule>
    <cfRule type="cellIs" dxfId="1108" priority="1079" operator="lessThan">
      <formula>-0.05</formula>
    </cfRule>
  </conditionalFormatting>
  <conditionalFormatting sqref="H40:L40">
    <cfRule type="containsText" dxfId="1107" priority="1074" operator="containsText" text="NA">
      <formula>NOT(ISERROR(SEARCH("NA",H40)))</formula>
    </cfRule>
    <cfRule type="cellIs" dxfId="1106" priority="1076" operator="greaterThan">
      <formula>0.05</formula>
    </cfRule>
  </conditionalFormatting>
  <conditionalFormatting sqref="H40:L40">
    <cfRule type="cellIs" dxfId="1105" priority="1073" operator="between">
      <formula>-0.05</formula>
      <formula>0.05</formula>
    </cfRule>
    <cfRule type="cellIs" dxfId="1104" priority="1075" operator="lessThan">
      <formula>-0.05</formula>
    </cfRule>
  </conditionalFormatting>
  <conditionalFormatting sqref="G41:L41">
    <cfRule type="containsText" dxfId="1103" priority="1070" operator="containsText" text="NA">
      <formula>NOT(ISERROR(SEARCH("NA",G41)))</formula>
    </cfRule>
    <cfRule type="cellIs" dxfId="1102" priority="1072" operator="greaterThan">
      <formula>0.05</formula>
    </cfRule>
  </conditionalFormatting>
  <conditionalFormatting sqref="G41:L41">
    <cfRule type="cellIs" dxfId="1101" priority="1069" operator="between">
      <formula>-0.05</formula>
      <formula>0.05</formula>
    </cfRule>
    <cfRule type="cellIs" dxfId="1100" priority="1071" operator="lessThan">
      <formula>-0.05</formula>
    </cfRule>
  </conditionalFormatting>
  <conditionalFormatting sqref="G42">
    <cfRule type="containsText" dxfId="1099" priority="1066" operator="containsText" text="NA">
      <formula>NOT(ISERROR(SEARCH("NA",G42)))</formula>
    </cfRule>
    <cfRule type="cellIs" dxfId="1098" priority="1068" operator="greaterThan">
      <formula>0.05</formula>
    </cfRule>
  </conditionalFormatting>
  <conditionalFormatting sqref="G42">
    <cfRule type="cellIs" dxfId="1097" priority="1065" operator="between">
      <formula>-0.05</formula>
      <formula>0.05</formula>
    </cfRule>
    <cfRule type="cellIs" dxfId="1096" priority="1067" operator="lessThan">
      <formula>-0.05</formula>
    </cfRule>
  </conditionalFormatting>
  <conditionalFormatting sqref="H42:L42">
    <cfRule type="containsText" dxfId="1095" priority="1062" operator="containsText" text="NA">
      <formula>NOT(ISERROR(SEARCH("NA",H42)))</formula>
    </cfRule>
    <cfRule type="cellIs" dxfId="1094" priority="1064" operator="greaterThan">
      <formula>0.05</formula>
    </cfRule>
  </conditionalFormatting>
  <conditionalFormatting sqref="H42:L42">
    <cfRule type="cellIs" dxfId="1093" priority="1061" operator="between">
      <formula>-0.05</formula>
      <formula>0.05</formula>
    </cfRule>
    <cfRule type="cellIs" dxfId="1092" priority="1063" operator="lessThan">
      <formula>-0.05</formula>
    </cfRule>
  </conditionalFormatting>
  <conditionalFormatting sqref="G43:L43">
    <cfRule type="containsText" dxfId="1091" priority="1058" operator="containsText" text="NA">
      <formula>NOT(ISERROR(SEARCH("NA",G43)))</formula>
    </cfRule>
    <cfRule type="cellIs" dxfId="1090" priority="1060" operator="greaterThan">
      <formula>0.05</formula>
    </cfRule>
  </conditionalFormatting>
  <conditionalFormatting sqref="G43:L43">
    <cfRule type="cellIs" dxfId="1089" priority="1057" operator="between">
      <formula>-0.05</formula>
      <formula>0.05</formula>
    </cfRule>
    <cfRule type="cellIs" dxfId="1088" priority="1059" operator="lessThan">
      <formula>-0.05</formula>
    </cfRule>
  </conditionalFormatting>
  <conditionalFormatting sqref="G44">
    <cfRule type="containsText" dxfId="1087" priority="1054" operator="containsText" text="NA">
      <formula>NOT(ISERROR(SEARCH("NA",G44)))</formula>
    </cfRule>
    <cfRule type="cellIs" dxfId="1086" priority="1056" operator="greaterThan">
      <formula>0.05</formula>
    </cfRule>
  </conditionalFormatting>
  <conditionalFormatting sqref="G44">
    <cfRule type="cellIs" dxfId="1085" priority="1053" operator="between">
      <formula>-0.05</formula>
      <formula>0.05</formula>
    </cfRule>
    <cfRule type="cellIs" dxfId="1084" priority="1055" operator="lessThan">
      <formula>-0.05</formula>
    </cfRule>
  </conditionalFormatting>
  <conditionalFormatting sqref="H44:L44">
    <cfRule type="containsText" dxfId="1083" priority="1050" operator="containsText" text="NA">
      <formula>NOT(ISERROR(SEARCH("NA",H44)))</formula>
    </cfRule>
    <cfRule type="cellIs" dxfId="1082" priority="1052" operator="greaterThan">
      <formula>0.05</formula>
    </cfRule>
  </conditionalFormatting>
  <conditionalFormatting sqref="H44:L44">
    <cfRule type="cellIs" dxfId="1081" priority="1049" operator="between">
      <formula>-0.05</formula>
      <formula>0.05</formula>
    </cfRule>
    <cfRule type="cellIs" dxfId="1080" priority="1051" operator="lessThan">
      <formula>-0.05</formula>
    </cfRule>
  </conditionalFormatting>
  <conditionalFormatting sqref="G45:L45">
    <cfRule type="containsText" dxfId="1079" priority="1046" operator="containsText" text="NA">
      <formula>NOT(ISERROR(SEARCH("NA",G45)))</formula>
    </cfRule>
    <cfRule type="cellIs" dxfId="1078" priority="1048" operator="greaterThan">
      <formula>0.05</formula>
    </cfRule>
  </conditionalFormatting>
  <conditionalFormatting sqref="G45:L45">
    <cfRule type="cellIs" dxfId="1077" priority="1045" operator="between">
      <formula>-0.05</formula>
      <formula>0.05</formula>
    </cfRule>
    <cfRule type="cellIs" dxfId="1076" priority="1047" operator="lessThan">
      <formula>-0.05</formula>
    </cfRule>
  </conditionalFormatting>
  <conditionalFormatting sqref="G46">
    <cfRule type="containsText" dxfId="1075" priority="1042" operator="containsText" text="NA">
      <formula>NOT(ISERROR(SEARCH("NA",G46)))</formula>
    </cfRule>
    <cfRule type="cellIs" dxfId="1074" priority="1044" operator="greaterThan">
      <formula>0.05</formula>
    </cfRule>
  </conditionalFormatting>
  <conditionalFormatting sqref="G46">
    <cfRule type="cellIs" dxfId="1073" priority="1041" operator="between">
      <formula>-0.05</formula>
      <formula>0.05</formula>
    </cfRule>
    <cfRule type="cellIs" dxfId="1072" priority="1043" operator="lessThan">
      <formula>-0.05</formula>
    </cfRule>
  </conditionalFormatting>
  <conditionalFormatting sqref="H46:L46">
    <cfRule type="containsText" dxfId="1071" priority="1038" operator="containsText" text="NA">
      <formula>NOT(ISERROR(SEARCH("NA",H46)))</formula>
    </cfRule>
    <cfRule type="cellIs" dxfId="1070" priority="1040" operator="greaterThan">
      <formula>0.05</formula>
    </cfRule>
  </conditionalFormatting>
  <conditionalFormatting sqref="H46:L46">
    <cfRule type="cellIs" dxfId="1069" priority="1037" operator="between">
      <formula>-0.05</formula>
      <formula>0.05</formula>
    </cfRule>
    <cfRule type="cellIs" dxfId="1068" priority="1039" operator="lessThan">
      <formula>-0.05</formula>
    </cfRule>
  </conditionalFormatting>
  <conditionalFormatting sqref="G47:L47">
    <cfRule type="containsText" dxfId="1067" priority="1034" operator="containsText" text="NA">
      <formula>NOT(ISERROR(SEARCH("NA",G47)))</formula>
    </cfRule>
    <cfRule type="cellIs" dxfId="1066" priority="1036" operator="greaterThan">
      <formula>0.05</formula>
    </cfRule>
  </conditionalFormatting>
  <conditionalFormatting sqref="G47:L47">
    <cfRule type="cellIs" dxfId="1065" priority="1033" operator="between">
      <formula>-0.05</formula>
      <formula>0.05</formula>
    </cfRule>
    <cfRule type="cellIs" dxfId="1064" priority="1035" operator="lessThan">
      <formula>-0.05</formula>
    </cfRule>
  </conditionalFormatting>
  <conditionalFormatting sqref="G48">
    <cfRule type="containsText" dxfId="1063" priority="1030" operator="containsText" text="NA">
      <formula>NOT(ISERROR(SEARCH("NA",G48)))</formula>
    </cfRule>
    <cfRule type="cellIs" dxfId="1062" priority="1032" operator="greaterThan">
      <formula>0.05</formula>
    </cfRule>
  </conditionalFormatting>
  <conditionalFormatting sqref="G48">
    <cfRule type="cellIs" dxfId="1061" priority="1029" operator="between">
      <formula>-0.05</formula>
      <formula>0.05</formula>
    </cfRule>
    <cfRule type="cellIs" dxfId="1060" priority="1031" operator="lessThan">
      <formula>-0.05</formula>
    </cfRule>
  </conditionalFormatting>
  <conditionalFormatting sqref="H48:L48">
    <cfRule type="containsText" dxfId="1059" priority="1026" operator="containsText" text="NA">
      <formula>NOT(ISERROR(SEARCH("NA",H48)))</formula>
    </cfRule>
    <cfRule type="cellIs" dxfId="1058" priority="1028" operator="greaterThan">
      <formula>0.05</formula>
    </cfRule>
  </conditionalFormatting>
  <conditionalFormatting sqref="H48:L48">
    <cfRule type="cellIs" dxfId="1057" priority="1025" operator="between">
      <formula>-0.05</formula>
      <formula>0.05</formula>
    </cfRule>
    <cfRule type="cellIs" dxfId="1056" priority="1027" operator="lessThan">
      <formula>-0.05</formula>
    </cfRule>
  </conditionalFormatting>
  <conditionalFormatting sqref="G49:L49">
    <cfRule type="containsText" dxfId="1055" priority="1022" operator="containsText" text="NA">
      <formula>NOT(ISERROR(SEARCH("NA",G49)))</formula>
    </cfRule>
    <cfRule type="cellIs" dxfId="1054" priority="1024" operator="greaterThan">
      <formula>0.05</formula>
    </cfRule>
  </conditionalFormatting>
  <conditionalFormatting sqref="G49:L49">
    <cfRule type="cellIs" dxfId="1053" priority="1021" operator="between">
      <formula>-0.05</formula>
      <formula>0.05</formula>
    </cfRule>
    <cfRule type="cellIs" dxfId="1052" priority="1023" operator="lessThan">
      <formula>-0.05</formula>
    </cfRule>
  </conditionalFormatting>
  <conditionalFormatting sqref="G50">
    <cfRule type="containsText" dxfId="1051" priority="1018" operator="containsText" text="NA">
      <formula>NOT(ISERROR(SEARCH("NA",G50)))</formula>
    </cfRule>
    <cfRule type="cellIs" dxfId="1050" priority="1020" operator="greaterThan">
      <formula>0.05</formula>
    </cfRule>
  </conditionalFormatting>
  <conditionalFormatting sqref="G50">
    <cfRule type="cellIs" dxfId="1049" priority="1017" operator="between">
      <formula>-0.05</formula>
      <formula>0.05</formula>
    </cfRule>
    <cfRule type="cellIs" dxfId="1048" priority="1019" operator="lessThan">
      <formula>-0.05</formula>
    </cfRule>
  </conditionalFormatting>
  <conditionalFormatting sqref="H50:L50">
    <cfRule type="containsText" dxfId="1047" priority="1014" operator="containsText" text="NA">
      <formula>NOT(ISERROR(SEARCH("NA",H50)))</formula>
    </cfRule>
    <cfRule type="cellIs" dxfId="1046" priority="1016" operator="greaterThan">
      <formula>0.05</formula>
    </cfRule>
  </conditionalFormatting>
  <conditionalFormatting sqref="H50:L50">
    <cfRule type="cellIs" dxfId="1045" priority="1013" operator="between">
      <formula>-0.05</formula>
      <formula>0.05</formula>
    </cfRule>
    <cfRule type="cellIs" dxfId="1044" priority="1015" operator="lessThan">
      <formula>-0.05</formula>
    </cfRule>
  </conditionalFormatting>
  <conditionalFormatting sqref="G51:L51">
    <cfRule type="containsText" dxfId="1043" priority="1010" operator="containsText" text="NA">
      <formula>NOT(ISERROR(SEARCH("NA",G51)))</formula>
    </cfRule>
    <cfRule type="cellIs" dxfId="1042" priority="1012" operator="greaterThan">
      <formula>0.05</formula>
    </cfRule>
  </conditionalFormatting>
  <conditionalFormatting sqref="G51:L51">
    <cfRule type="cellIs" dxfId="1041" priority="1009" operator="between">
      <formula>-0.05</formula>
      <formula>0.05</formula>
    </cfRule>
    <cfRule type="cellIs" dxfId="1040" priority="1011" operator="lessThan">
      <formula>-0.05</formula>
    </cfRule>
  </conditionalFormatting>
  <conditionalFormatting sqref="G52">
    <cfRule type="containsText" dxfId="1039" priority="1006" operator="containsText" text="NA">
      <formula>NOT(ISERROR(SEARCH("NA",G52)))</formula>
    </cfRule>
    <cfRule type="cellIs" dxfId="1038" priority="1008" operator="greaterThan">
      <formula>0.05</formula>
    </cfRule>
  </conditionalFormatting>
  <conditionalFormatting sqref="G52">
    <cfRule type="cellIs" dxfId="1037" priority="1005" operator="between">
      <formula>-0.05</formula>
      <formula>0.05</formula>
    </cfRule>
    <cfRule type="cellIs" dxfId="1036" priority="1007" operator="lessThan">
      <formula>-0.05</formula>
    </cfRule>
  </conditionalFormatting>
  <conditionalFormatting sqref="H52:L52">
    <cfRule type="containsText" dxfId="1035" priority="1002" operator="containsText" text="NA">
      <formula>NOT(ISERROR(SEARCH("NA",H52)))</formula>
    </cfRule>
    <cfRule type="cellIs" dxfId="1034" priority="1004" operator="greaterThan">
      <formula>0.05</formula>
    </cfRule>
  </conditionalFormatting>
  <conditionalFormatting sqref="H52:L52">
    <cfRule type="cellIs" dxfId="1033" priority="1001" operator="between">
      <formula>-0.05</formula>
      <formula>0.05</formula>
    </cfRule>
    <cfRule type="cellIs" dxfId="1032" priority="1003" operator="lessThan">
      <formula>-0.05</formula>
    </cfRule>
  </conditionalFormatting>
  <conditionalFormatting sqref="G53:L53">
    <cfRule type="containsText" dxfId="1031" priority="998" operator="containsText" text="NA">
      <formula>NOT(ISERROR(SEARCH("NA",G53)))</formula>
    </cfRule>
    <cfRule type="cellIs" dxfId="1030" priority="1000" operator="greaterThan">
      <formula>0.05</formula>
    </cfRule>
  </conditionalFormatting>
  <conditionalFormatting sqref="G53:L53">
    <cfRule type="cellIs" dxfId="1029" priority="997" operator="between">
      <formula>-0.05</formula>
      <formula>0.05</formula>
    </cfRule>
    <cfRule type="cellIs" dxfId="1028" priority="999" operator="lessThan">
      <formula>-0.05</formula>
    </cfRule>
  </conditionalFormatting>
  <conditionalFormatting sqref="G54">
    <cfRule type="containsText" dxfId="1027" priority="994" operator="containsText" text="NA">
      <formula>NOT(ISERROR(SEARCH("NA",G54)))</formula>
    </cfRule>
    <cfRule type="cellIs" dxfId="1026" priority="996" operator="greaterThan">
      <formula>0.05</formula>
    </cfRule>
  </conditionalFormatting>
  <conditionalFormatting sqref="G54">
    <cfRule type="cellIs" dxfId="1025" priority="993" operator="between">
      <formula>-0.05</formula>
      <formula>0.05</formula>
    </cfRule>
    <cfRule type="cellIs" dxfId="1024" priority="995" operator="lessThan">
      <formula>-0.05</formula>
    </cfRule>
  </conditionalFormatting>
  <conditionalFormatting sqref="H54:L54">
    <cfRule type="containsText" dxfId="1023" priority="990" operator="containsText" text="NA">
      <formula>NOT(ISERROR(SEARCH("NA",H54)))</formula>
    </cfRule>
    <cfRule type="cellIs" dxfId="1022" priority="992" operator="greaterThan">
      <formula>0.05</formula>
    </cfRule>
  </conditionalFormatting>
  <conditionalFormatting sqref="H54:L54">
    <cfRule type="cellIs" dxfId="1021" priority="989" operator="between">
      <formula>-0.05</formula>
      <formula>0.05</formula>
    </cfRule>
    <cfRule type="cellIs" dxfId="1020" priority="991" operator="lessThan">
      <formula>-0.05</formula>
    </cfRule>
  </conditionalFormatting>
  <conditionalFormatting sqref="G55:L55">
    <cfRule type="containsText" dxfId="1019" priority="986" operator="containsText" text="NA">
      <formula>NOT(ISERROR(SEARCH("NA",G55)))</formula>
    </cfRule>
    <cfRule type="cellIs" dxfId="1018" priority="988" operator="greaterThan">
      <formula>0.05</formula>
    </cfRule>
  </conditionalFormatting>
  <conditionalFormatting sqref="G55:L55">
    <cfRule type="cellIs" dxfId="1017" priority="985" operator="between">
      <formula>-0.05</formula>
      <formula>0.05</formula>
    </cfRule>
    <cfRule type="cellIs" dxfId="1016" priority="987" operator="lessThan">
      <formula>-0.05</formula>
    </cfRule>
  </conditionalFormatting>
  <conditionalFormatting sqref="G56">
    <cfRule type="containsText" dxfId="1015" priority="982" operator="containsText" text="NA">
      <formula>NOT(ISERROR(SEARCH("NA",G56)))</formula>
    </cfRule>
    <cfRule type="cellIs" dxfId="1014" priority="984" operator="greaterThan">
      <formula>0.05</formula>
    </cfRule>
  </conditionalFormatting>
  <conditionalFormatting sqref="G56">
    <cfRule type="cellIs" dxfId="1013" priority="981" operator="between">
      <formula>-0.05</formula>
      <formula>0.05</formula>
    </cfRule>
    <cfRule type="cellIs" dxfId="1012" priority="983" operator="lessThan">
      <formula>-0.05</formula>
    </cfRule>
  </conditionalFormatting>
  <conditionalFormatting sqref="H56:L56">
    <cfRule type="containsText" dxfId="1011" priority="978" operator="containsText" text="NA">
      <formula>NOT(ISERROR(SEARCH("NA",H56)))</formula>
    </cfRule>
    <cfRule type="cellIs" dxfId="1010" priority="980" operator="greaterThan">
      <formula>0.05</formula>
    </cfRule>
  </conditionalFormatting>
  <conditionalFormatting sqref="H56:L56">
    <cfRule type="cellIs" dxfId="1009" priority="977" operator="between">
      <formula>-0.05</formula>
      <formula>0.05</formula>
    </cfRule>
    <cfRule type="cellIs" dxfId="1008" priority="979" operator="lessThan">
      <formula>-0.05</formula>
    </cfRule>
  </conditionalFormatting>
  <conditionalFormatting sqref="G57:L57">
    <cfRule type="containsText" dxfId="1007" priority="974" operator="containsText" text="NA">
      <formula>NOT(ISERROR(SEARCH("NA",G57)))</formula>
    </cfRule>
    <cfRule type="cellIs" dxfId="1006" priority="976" operator="greaterThan">
      <formula>0.05</formula>
    </cfRule>
  </conditionalFormatting>
  <conditionalFormatting sqref="G57:L57">
    <cfRule type="cellIs" dxfId="1005" priority="973" operator="between">
      <formula>-0.05</formula>
      <formula>0.05</formula>
    </cfRule>
    <cfRule type="cellIs" dxfId="1004" priority="975" operator="lessThan">
      <formula>-0.05</formula>
    </cfRule>
  </conditionalFormatting>
  <conditionalFormatting sqref="G58">
    <cfRule type="containsText" dxfId="1003" priority="970" operator="containsText" text="NA">
      <formula>NOT(ISERROR(SEARCH("NA",G58)))</formula>
    </cfRule>
    <cfRule type="cellIs" dxfId="1002" priority="972" operator="greaterThan">
      <formula>0.05</formula>
    </cfRule>
  </conditionalFormatting>
  <conditionalFormatting sqref="G58">
    <cfRule type="cellIs" dxfId="1001" priority="969" operator="between">
      <formula>-0.05</formula>
      <formula>0.05</formula>
    </cfRule>
    <cfRule type="cellIs" dxfId="1000" priority="971" operator="lessThan">
      <formula>-0.05</formula>
    </cfRule>
  </conditionalFormatting>
  <conditionalFormatting sqref="H58:L58">
    <cfRule type="containsText" dxfId="999" priority="966" operator="containsText" text="NA">
      <formula>NOT(ISERROR(SEARCH("NA",H58)))</formula>
    </cfRule>
    <cfRule type="cellIs" dxfId="998" priority="968" operator="greaterThan">
      <formula>0.05</formula>
    </cfRule>
  </conditionalFormatting>
  <conditionalFormatting sqref="H58:L58">
    <cfRule type="cellIs" dxfId="997" priority="965" operator="between">
      <formula>-0.05</formula>
      <formula>0.05</formula>
    </cfRule>
    <cfRule type="cellIs" dxfId="996" priority="967" operator="lessThan">
      <formula>-0.05</formula>
    </cfRule>
  </conditionalFormatting>
  <conditionalFormatting sqref="G59:L59">
    <cfRule type="containsText" dxfId="995" priority="962" operator="containsText" text="NA">
      <formula>NOT(ISERROR(SEARCH("NA",G59)))</formula>
    </cfRule>
    <cfRule type="cellIs" dxfId="994" priority="964" operator="greaterThan">
      <formula>0.05</formula>
    </cfRule>
  </conditionalFormatting>
  <conditionalFormatting sqref="G59:L59">
    <cfRule type="cellIs" dxfId="993" priority="961" operator="between">
      <formula>-0.05</formula>
      <formula>0.05</formula>
    </cfRule>
    <cfRule type="cellIs" dxfId="992" priority="963" operator="lessThan">
      <formula>-0.05</formula>
    </cfRule>
  </conditionalFormatting>
  <conditionalFormatting sqref="G60">
    <cfRule type="containsText" dxfId="991" priority="958" operator="containsText" text="NA">
      <formula>NOT(ISERROR(SEARCH("NA",G60)))</formula>
    </cfRule>
    <cfRule type="cellIs" dxfId="990" priority="960" operator="greaterThan">
      <formula>0.05</formula>
    </cfRule>
  </conditionalFormatting>
  <conditionalFormatting sqref="G60">
    <cfRule type="cellIs" dxfId="989" priority="957" operator="between">
      <formula>-0.05</formula>
      <formula>0.05</formula>
    </cfRule>
    <cfRule type="cellIs" dxfId="988" priority="959" operator="lessThan">
      <formula>-0.05</formula>
    </cfRule>
  </conditionalFormatting>
  <conditionalFormatting sqref="H60:L60">
    <cfRule type="containsText" dxfId="987" priority="954" operator="containsText" text="NA">
      <formula>NOT(ISERROR(SEARCH("NA",H60)))</formula>
    </cfRule>
    <cfRule type="cellIs" dxfId="986" priority="956" operator="greaterThan">
      <formula>0.05</formula>
    </cfRule>
  </conditionalFormatting>
  <conditionalFormatting sqref="H60:L60">
    <cfRule type="cellIs" dxfId="985" priority="953" operator="between">
      <formula>-0.05</formula>
      <formula>0.05</formula>
    </cfRule>
    <cfRule type="cellIs" dxfId="984" priority="955" operator="lessThan">
      <formula>-0.05</formula>
    </cfRule>
  </conditionalFormatting>
  <conditionalFormatting sqref="G61:L61">
    <cfRule type="containsText" dxfId="983" priority="950" operator="containsText" text="NA">
      <formula>NOT(ISERROR(SEARCH("NA",G61)))</formula>
    </cfRule>
    <cfRule type="cellIs" dxfId="982" priority="952" operator="greaterThan">
      <formula>0.05</formula>
    </cfRule>
  </conditionalFormatting>
  <conditionalFormatting sqref="G61:L61">
    <cfRule type="cellIs" dxfId="981" priority="949" operator="between">
      <formula>-0.05</formula>
      <formula>0.05</formula>
    </cfRule>
    <cfRule type="cellIs" dxfId="980" priority="951" operator="lessThan">
      <formula>-0.05</formula>
    </cfRule>
  </conditionalFormatting>
  <conditionalFormatting sqref="G62">
    <cfRule type="containsText" dxfId="979" priority="946" operator="containsText" text="NA">
      <formula>NOT(ISERROR(SEARCH("NA",G62)))</formula>
    </cfRule>
    <cfRule type="cellIs" dxfId="978" priority="948" operator="greaterThan">
      <formula>0.05</formula>
    </cfRule>
  </conditionalFormatting>
  <conditionalFormatting sqref="G62">
    <cfRule type="cellIs" dxfId="977" priority="945" operator="between">
      <formula>-0.05</formula>
      <formula>0.05</formula>
    </cfRule>
    <cfRule type="cellIs" dxfId="976" priority="947" operator="lessThan">
      <formula>-0.05</formula>
    </cfRule>
  </conditionalFormatting>
  <conditionalFormatting sqref="H62:L62">
    <cfRule type="containsText" dxfId="975" priority="942" operator="containsText" text="NA">
      <formula>NOT(ISERROR(SEARCH("NA",H62)))</formula>
    </cfRule>
    <cfRule type="cellIs" dxfId="974" priority="944" operator="greaterThan">
      <formula>0.05</formula>
    </cfRule>
  </conditionalFormatting>
  <conditionalFormatting sqref="H62:L62">
    <cfRule type="cellIs" dxfId="973" priority="941" operator="between">
      <formula>-0.05</formula>
      <formula>0.05</formula>
    </cfRule>
    <cfRule type="cellIs" dxfId="972" priority="943" operator="lessThan">
      <formula>-0.05</formula>
    </cfRule>
  </conditionalFormatting>
  <conditionalFormatting sqref="G63:L63">
    <cfRule type="containsText" dxfId="971" priority="938" operator="containsText" text="NA">
      <formula>NOT(ISERROR(SEARCH("NA",G63)))</formula>
    </cfRule>
    <cfRule type="cellIs" dxfId="970" priority="940" operator="greaterThan">
      <formula>0.05</formula>
    </cfRule>
  </conditionalFormatting>
  <conditionalFormatting sqref="G63:L63">
    <cfRule type="cellIs" dxfId="969" priority="937" operator="between">
      <formula>-0.05</formula>
      <formula>0.05</formula>
    </cfRule>
    <cfRule type="cellIs" dxfId="968" priority="939" operator="lessThan">
      <formula>-0.05</formula>
    </cfRule>
  </conditionalFormatting>
  <conditionalFormatting sqref="G64">
    <cfRule type="containsText" dxfId="967" priority="934" operator="containsText" text="NA">
      <formula>NOT(ISERROR(SEARCH("NA",G64)))</formula>
    </cfRule>
    <cfRule type="cellIs" dxfId="966" priority="936" operator="greaterThan">
      <formula>0.05</formula>
    </cfRule>
  </conditionalFormatting>
  <conditionalFormatting sqref="G64">
    <cfRule type="cellIs" dxfId="965" priority="933" operator="between">
      <formula>-0.05</formula>
      <formula>0.05</formula>
    </cfRule>
    <cfRule type="cellIs" dxfId="964" priority="935" operator="lessThan">
      <formula>-0.05</formula>
    </cfRule>
  </conditionalFormatting>
  <conditionalFormatting sqref="H64:L64">
    <cfRule type="containsText" dxfId="963" priority="930" operator="containsText" text="NA">
      <formula>NOT(ISERROR(SEARCH("NA",H64)))</formula>
    </cfRule>
    <cfRule type="cellIs" dxfId="962" priority="932" operator="greaterThan">
      <formula>0.05</formula>
    </cfRule>
  </conditionalFormatting>
  <conditionalFormatting sqref="H64:L64">
    <cfRule type="cellIs" dxfId="961" priority="929" operator="between">
      <formula>-0.05</formula>
      <formula>0.05</formula>
    </cfRule>
    <cfRule type="cellIs" dxfId="960" priority="931" operator="lessThan">
      <formula>-0.05</formula>
    </cfRule>
  </conditionalFormatting>
  <conditionalFormatting sqref="G65:L65">
    <cfRule type="containsText" dxfId="959" priority="926" operator="containsText" text="NA">
      <formula>NOT(ISERROR(SEARCH("NA",G65)))</formula>
    </cfRule>
    <cfRule type="cellIs" dxfId="958" priority="928" operator="greaterThan">
      <formula>0.05</formula>
    </cfRule>
  </conditionalFormatting>
  <conditionalFormatting sqref="G65:L65">
    <cfRule type="cellIs" dxfId="957" priority="925" operator="between">
      <formula>-0.05</formula>
      <formula>0.05</formula>
    </cfRule>
    <cfRule type="cellIs" dxfId="956" priority="927" operator="lessThan">
      <formula>-0.05</formula>
    </cfRule>
  </conditionalFormatting>
  <conditionalFormatting sqref="G66">
    <cfRule type="containsText" dxfId="955" priority="922" operator="containsText" text="NA">
      <formula>NOT(ISERROR(SEARCH("NA",G66)))</formula>
    </cfRule>
    <cfRule type="cellIs" dxfId="954" priority="924" operator="greaterThan">
      <formula>0.05</formula>
    </cfRule>
  </conditionalFormatting>
  <conditionalFormatting sqref="G66">
    <cfRule type="cellIs" dxfId="953" priority="921" operator="between">
      <formula>-0.05</formula>
      <formula>0.05</formula>
    </cfRule>
    <cfRule type="cellIs" dxfId="952" priority="923" operator="lessThan">
      <formula>-0.05</formula>
    </cfRule>
  </conditionalFormatting>
  <conditionalFormatting sqref="H66:L66">
    <cfRule type="containsText" dxfId="951" priority="918" operator="containsText" text="NA">
      <formula>NOT(ISERROR(SEARCH("NA",H66)))</formula>
    </cfRule>
    <cfRule type="cellIs" dxfId="950" priority="920" operator="greaterThan">
      <formula>0.05</formula>
    </cfRule>
  </conditionalFormatting>
  <conditionalFormatting sqref="H66:L66">
    <cfRule type="cellIs" dxfId="949" priority="917" operator="between">
      <formula>-0.05</formula>
      <formula>0.05</formula>
    </cfRule>
    <cfRule type="cellIs" dxfId="948" priority="919" operator="lessThan">
      <formula>-0.05</formula>
    </cfRule>
  </conditionalFormatting>
  <conditionalFormatting sqref="G67:L67">
    <cfRule type="containsText" dxfId="947" priority="914" operator="containsText" text="NA">
      <formula>NOT(ISERROR(SEARCH("NA",G67)))</formula>
    </cfRule>
    <cfRule type="cellIs" dxfId="946" priority="916" operator="greaterThan">
      <formula>0.05</formula>
    </cfRule>
  </conditionalFormatting>
  <conditionalFormatting sqref="G67:L67">
    <cfRule type="cellIs" dxfId="945" priority="913" operator="between">
      <formula>-0.05</formula>
      <formula>0.05</formula>
    </cfRule>
    <cfRule type="cellIs" dxfId="944" priority="915" operator="lessThan">
      <formula>-0.05</formula>
    </cfRule>
  </conditionalFormatting>
  <conditionalFormatting sqref="G68">
    <cfRule type="containsText" dxfId="943" priority="910" operator="containsText" text="NA">
      <formula>NOT(ISERROR(SEARCH("NA",G68)))</formula>
    </cfRule>
    <cfRule type="cellIs" dxfId="942" priority="912" operator="greaterThan">
      <formula>0.05</formula>
    </cfRule>
  </conditionalFormatting>
  <conditionalFormatting sqref="G68">
    <cfRule type="cellIs" dxfId="941" priority="909" operator="between">
      <formula>-0.05</formula>
      <formula>0.05</formula>
    </cfRule>
    <cfRule type="cellIs" dxfId="940" priority="911" operator="lessThan">
      <formula>-0.05</formula>
    </cfRule>
  </conditionalFormatting>
  <conditionalFormatting sqref="H68:L68">
    <cfRule type="containsText" dxfId="939" priority="906" operator="containsText" text="NA">
      <formula>NOT(ISERROR(SEARCH("NA",H68)))</formula>
    </cfRule>
    <cfRule type="cellIs" dxfId="938" priority="908" operator="greaterThan">
      <formula>0.05</formula>
    </cfRule>
  </conditionalFormatting>
  <conditionalFormatting sqref="H68:L68">
    <cfRule type="cellIs" dxfId="937" priority="905" operator="between">
      <formula>-0.05</formula>
      <formula>0.05</formula>
    </cfRule>
    <cfRule type="cellIs" dxfId="936" priority="907" operator="lessThan">
      <formula>-0.05</formula>
    </cfRule>
  </conditionalFormatting>
  <conditionalFormatting sqref="G69:L69">
    <cfRule type="containsText" dxfId="935" priority="902" operator="containsText" text="NA">
      <formula>NOT(ISERROR(SEARCH("NA",G69)))</formula>
    </cfRule>
    <cfRule type="cellIs" dxfId="934" priority="904" operator="greaterThan">
      <formula>0.05</formula>
    </cfRule>
  </conditionalFormatting>
  <conditionalFormatting sqref="G69:L69">
    <cfRule type="cellIs" dxfId="933" priority="901" operator="between">
      <formula>-0.05</formula>
      <formula>0.05</formula>
    </cfRule>
    <cfRule type="cellIs" dxfId="932" priority="903" operator="lessThan">
      <formula>-0.05</formula>
    </cfRule>
  </conditionalFormatting>
  <conditionalFormatting sqref="G70">
    <cfRule type="containsText" dxfId="931" priority="898" operator="containsText" text="NA">
      <formula>NOT(ISERROR(SEARCH("NA",G70)))</formula>
    </cfRule>
    <cfRule type="cellIs" dxfId="930" priority="900" operator="greaterThan">
      <formula>0.05</formula>
    </cfRule>
  </conditionalFormatting>
  <conditionalFormatting sqref="G70">
    <cfRule type="cellIs" dxfId="929" priority="897" operator="between">
      <formula>-0.05</formula>
      <formula>0.05</formula>
    </cfRule>
    <cfRule type="cellIs" dxfId="928" priority="899" operator="lessThan">
      <formula>-0.05</formula>
    </cfRule>
  </conditionalFormatting>
  <conditionalFormatting sqref="H70:L70">
    <cfRule type="containsText" dxfId="927" priority="894" operator="containsText" text="NA">
      <formula>NOT(ISERROR(SEARCH("NA",H70)))</formula>
    </cfRule>
    <cfRule type="cellIs" dxfId="926" priority="896" operator="greaterThan">
      <formula>0.05</formula>
    </cfRule>
  </conditionalFormatting>
  <conditionalFormatting sqref="H70:L70">
    <cfRule type="cellIs" dxfId="925" priority="893" operator="between">
      <formula>-0.05</formula>
      <formula>0.05</formula>
    </cfRule>
    <cfRule type="cellIs" dxfId="924" priority="895" operator="lessThan">
      <formula>-0.05</formula>
    </cfRule>
  </conditionalFormatting>
  <conditionalFormatting sqref="G71:L71">
    <cfRule type="containsText" dxfId="923" priority="890" operator="containsText" text="NA">
      <formula>NOT(ISERROR(SEARCH("NA",G71)))</formula>
    </cfRule>
    <cfRule type="cellIs" dxfId="922" priority="892" operator="greaterThan">
      <formula>0.05</formula>
    </cfRule>
  </conditionalFormatting>
  <conditionalFormatting sqref="G71:L71">
    <cfRule type="cellIs" dxfId="921" priority="889" operator="between">
      <formula>-0.05</formula>
      <formula>0.05</formula>
    </cfRule>
    <cfRule type="cellIs" dxfId="920" priority="891" operator="lessThan">
      <formula>-0.05</formula>
    </cfRule>
  </conditionalFormatting>
  <conditionalFormatting sqref="G72">
    <cfRule type="containsText" dxfId="919" priority="886" operator="containsText" text="NA">
      <formula>NOT(ISERROR(SEARCH("NA",G72)))</formula>
    </cfRule>
    <cfRule type="cellIs" dxfId="918" priority="888" operator="greaterThan">
      <formula>0.05</formula>
    </cfRule>
  </conditionalFormatting>
  <conditionalFormatting sqref="G72">
    <cfRule type="cellIs" dxfId="917" priority="885" operator="between">
      <formula>-0.05</formula>
      <formula>0.05</formula>
    </cfRule>
    <cfRule type="cellIs" dxfId="916" priority="887" operator="lessThan">
      <formula>-0.05</formula>
    </cfRule>
  </conditionalFormatting>
  <conditionalFormatting sqref="H72:L72">
    <cfRule type="containsText" dxfId="915" priority="882" operator="containsText" text="NA">
      <formula>NOT(ISERROR(SEARCH("NA",H72)))</formula>
    </cfRule>
    <cfRule type="cellIs" dxfId="914" priority="884" operator="greaterThan">
      <formula>0.05</formula>
    </cfRule>
  </conditionalFormatting>
  <conditionalFormatting sqref="H72:L72">
    <cfRule type="cellIs" dxfId="913" priority="881" operator="between">
      <formula>-0.05</formula>
      <formula>0.05</formula>
    </cfRule>
    <cfRule type="cellIs" dxfId="912" priority="883" operator="lessThan">
      <formula>-0.05</formula>
    </cfRule>
  </conditionalFormatting>
  <conditionalFormatting sqref="G73:L73">
    <cfRule type="containsText" dxfId="911" priority="878" operator="containsText" text="NA">
      <formula>NOT(ISERROR(SEARCH("NA",G73)))</formula>
    </cfRule>
    <cfRule type="cellIs" dxfId="910" priority="880" operator="greaterThan">
      <formula>0.05</formula>
    </cfRule>
  </conditionalFormatting>
  <conditionalFormatting sqref="G73:L73">
    <cfRule type="cellIs" dxfId="909" priority="877" operator="between">
      <formula>-0.05</formula>
      <formula>0.05</formula>
    </cfRule>
    <cfRule type="cellIs" dxfId="908" priority="879" operator="lessThan">
      <formula>-0.05</formula>
    </cfRule>
  </conditionalFormatting>
  <conditionalFormatting sqref="G74">
    <cfRule type="containsText" dxfId="907" priority="874" operator="containsText" text="NA">
      <formula>NOT(ISERROR(SEARCH("NA",G74)))</formula>
    </cfRule>
    <cfRule type="cellIs" dxfId="906" priority="876" operator="greaterThan">
      <formula>0.05</formula>
    </cfRule>
  </conditionalFormatting>
  <conditionalFormatting sqref="G74">
    <cfRule type="cellIs" dxfId="905" priority="873" operator="between">
      <formula>-0.05</formula>
      <formula>0.05</formula>
    </cfRule>
    <cfRule type="cellIs" dxfId="904" priority="875" operator="lessThan">
      <formula>-0.05</formula>
    </cfRule>
  </conditionalFormatting>
  <conditionalFormatting sqref="H74:L74">
    <cfRule type="containsText" dxfId="903" priority="870" operator="containsText" text="NA">
      <formula>NOT(ISERROR(SEARCH("NA",H74)))</formula>
    </cfRule>
    <cfRule type="cellIs" dxfId="902" priority="872" operator="greaterThan">
      <formula>0.05</formula>
    </cfRule>
  </conditionalFormatting>
  <conditionalFormatting sqref="H74:L74">
    <cfRule type="cellIs" dxfId="901" priority="869" operator="between">
      <formula>-0.05</formula>
      <formula>0.05</formula>
    </cfRule>
    <cfRule type="cellIs" dxfId="900" priority="871" operator="lessThan">
      <formula>-0.05</formula>
    </cfRule>
  </conditionalFormatting>
  <conditionalFormatting sqref="G75:L75">
    <cfRule type="containsText" dxfId="899" priority="866" operator="containsText" text="NA">
      <formula>NOT(ISERROR(SEARCH("NA",G75)))</formula>
    </cfRule>
    <cfRule type="cellIs" dxfId="898" priority="868" operator="greaterThan">
      <formula>0.05</formula>
    </cfRule>
  </conditionalFormatting>
  <conditionalFormatting sqref="G75:L75">
    <cfRule type="cellIs" dxfId="897" priority="865" operator="between">
      <formula>-0.05</formula>
      <formula>0.05</formula>
    </cfRule>
    <cfRule type="cellIs" dxfId="896" priority="867" operator="lessThan">
      <formula>-0.05</formula>
    </cfRule>
  </conditionalFormatting>
  <conditionalFormatting sqref="G76">
    <cfRule type="containsText" dxfId="895" priority="862" operator="containsText" text="NA">
      <formula>NOT(ISERROR(SEARCH("NA",G76)))</formula>
    </cfRule>
    <cfRule type="cellIs" dxfId="894" priority="864" operator="greaterThan">
      <formula>0.05</formula>
    </cfRule>
  </conditionalFormatting>
  <conditionalFormatting sqref="G76">
    <cfRule type="cellIs" dxfId="893" priority="861" operator="between">
      <formula>-0.05</formula>
      <formula>0.05</formula>
    </cfRule>
    <cfRule type="cellIs" dxfId="892" priority="863" operator="lessThan">
      <formula>-0.05</formula>
    </cfRule>
  </conditionalFormatting>
  <conditionalFormatting sqref="H76:L76">
    <cfRule type="containsText" dxfId="891" priority="858" operator="containsText" text="NA">
      <formula>NOT(ISERROR(SEARCH("NA",H76)))</formula>
    </cfRule>
    <cfRule type="cellIs" dxfId="890" priority="860" operator="greaterThan">
      <formula>0.05</formula>
    </cfRule>
  </conditionalFormatting>
  <conditionalFormatting sqref="H76:L76">
    <cfRule type="cellIs" dxfId="889" priority="857" operator="between">
      <formula>-0.05</formula>
      <formula>0.05</formula>
    </cfRule>
    <cfRule type="cellIs" dxfId="888" priority="859" operator="lessThan">
      <formula>-0.05</formula>
    </cfRule>
  </conditionalFormatting>
  <conditionalFormatting sqref="G77:L77">
    <cfRule type="containsText" dxfId="887" priority="854" operator="containsText" text="NA">
      <formula>NOT(ISERROR(SEARCH("NA",G77)))</formula>
    </cfRule>
    <cfRule type="cellIs" dxfId="886" priority="856" operator="greaterThan">
      <formula>0.05</formula>
    </cfRule>
  </conditionalFormatting>
  <conditionalFormatting sqref="G77:L77">
    <cfRule type="cellIs" dxfId="885" priority="853" operator="between">
      <formula>-0.05</formula>
      <formula>0.05</formula>
    </cfRule>
    <cfRule type="cellIs" dxfId="884" priority="855" operator="lessThan">
      <formula>-0.05</formula>
    </cfRule>
  </conditionalFormatting>
  <conditionalFormatting sqref="G78">
    <cfRule type="containsText" dxfId="883" priority="850" operator="containsText" text="NA">
      <formula>NOT(ISERROR(SEARCH("NA",G78)))</formula>
    </cfRule>
    <cfRule type="cellIs" dxfId="882" priority="852" operator="greaterThan">
      <formula>0.05</formula>
    </cfRule>
  </conditionalFormatting>
  <conditionalFormatting sqref="G78">
    <cfRule type="cellIs" dxfId="881" priority="849" operator="between">
      <formula>-0.05</formula>
      <formula>0.05</formula>
    </cfRule>
    <cfRule type="cellIs" dxfId="880" priority="851" operator="lessThan">
      <formula>-0.05</formula>
    </cfRule>
  </conditionalFormatting>
  <conditionalFormatting sqref="H78:L78">
    <cfRule type="containsText" dxfId="879" priority="846" operator="containsText" text="NA">
      <formula>NOT(ISERROR(SEARCH("NA",H78)))</formula>
    </cfRule>
    <cfRule type="cellIs" dxfId="878" priority="848" operator="greaterThan">
      <formula>0.05</formula>
    </cfRule>
  </conditionalFormatting>
  <conditionalFormatting sqref="H78:L78">
    <cfRule type="cellIs" dxfId="877" priority="845" operator="between">
      <formula>-0.05</formula>
      <formula>0.05</formula>
    </cfRule>
    <cfRule type="cellIs" dxfId="876" priority="847" operator="lessThan">
      <formula>-0.05</formula>
    </cfRule>
  </conditionalFormatting>
  <conditionalFormatting sqref="G79:L79">
    <cfRule type="containsText" dxfId="875" priority="842" operator="containsText" text="NA">
      <formula>NOT(ISERROR(SEARCH("NA",G79)))</formula>
    </cfRule>
    <cfRule type="cellIs" dxfId="874" priority="844" operator="greaterThan">
      <formula>0.05</formula>
    </cfRule>
  </conditionalFormatting>
  <conditionalFormatting sqref="G79:L79">
    <cfRule type="cellIs" dxfId="873" priority="841" operator="between">
      <formula>-0.05</formula>
      <formula>0.05</formula>
    </cfRule>
    <cfRule type="cellIs" dxfId="872" priority="843" operator="lessThan">
      <formula>-0.05</formula>
    </cfRule>
  </conditionalFormatting>
  <conditionalFormatting sqref="G80">
    <cfRule type="containsText" dxfId="871" priority="838" operator="containsText" text="NA">
      <formula>NOT(ISERROR(SEARCH("NA",G80)))</formula>
    </cfRule>
    <cfRule type="cellIs" dxfId="870" priority="840" operator="greaterThan">
      <formula>0.05</formula>
    </cfRule>
  </conditionalFormatting>
  <conditionalFormatting sqref="G80">
    <cfRule type="cellIs" dxfId="869" priority="837" operator="between">
      <formula>-0.05</formula>
      <formula>0.05</formula>
    </cfRule>
    <cfRule type="cellIs" dxfId="868" priority="839" operator="lessThan">
      <formula>-0.05</formula>
    </cfRule>
  </conditionalFormatting>
  <conditionalFormatting sqref="H80:L80">
    <cfRule type="containsText" dxfId="867" priority="834" operator="containsText" text="NA">
      <formula>NOT(ISERROR(SEARCH("NA",H80)))</formula>
    </cfRule>
    <cfRule type="cellIs" dxfId="866" priority="836" operator="greaterThan">
      <formula>0.05</formula>
    </cfRule>
  </conditionalFormatting>
  <conditionalFormatting sqref="H80:L80">
    <cfRule type="cellIs" dxfId="865" priority="833" operator="between">
      <formula>-0.05</formula>
      <formula>0.05</formula>
    </cfRule>
    <cfRule type="cellIs" dxfId="864" priority="835" operator="lessThan">
      <formula>-0.05</formula>
    </cfRule>
  </conditionalFormatting>
  <conditionalFormatting sqref="G81:L81">
    <cfRule type="containsText" dxfId="863" priority="830" operator="containsText" text="NA">
      <formula>NOT(ISERROR(SEARCH("NA",G81)))</formula>
    </cfRule>
    <cfRule type="cellIs" dxfId="862" priority="832" operator="greaterThan">
      <formula>0.05</formula>
    </cfRule>
  </conditionalFormatting>
  <conditionalFormatting sqref="G81:L81">
    <cfRule type="cellIs" dxfId="861" priority="829" operator="between">
      <formula>-0.05</formula>
      <formula>0.05</formula>
    </cfRule>
    <cfRule type="cellIs" dxfId="860" priority="831" operator="lessThan">
      <formula>-0.05</formula>
    </cfRule>
  </conditionalFormatting>
  <conditionalFormatting sqref="G82">
    <cfRule type="containsText" dxfId="859" priority="826" operator="containsText" text="NA">
      <formula>NOT(ISERROR(SEARCH("NA",G82)))</formula>
    </cfRule>
    <cfRule type="cellIs" dxfId="858" priority="828" operator="greaterThan">
      <formula>0.05</formula>
    </cfRule>
  </conditionalFormatting>
  <conditionalFormatting sqref="G82">
    <cfRule type="cellIs" dxfId="857" priority="825" operator="between">
      <formula>-0.05</formula>
      <formula>0.05</formula>
    </cfRule>
    <cfRule type="cellIs" dxfId="856" priority="827" operator="lessThan">
      <formula>-0.05</formula>
    </cfRule>
  </conditionalFormatting>
  <conditionalFormatting sqref="H82:L82">
    <cfRule type="containsText" dxfId="855" priority="822" operator="containsText" text="NA">
      <formula>NOT(ISERROR(SEARCH("NA",H82)))</formula>
    </cfRule>
    <cfRule type="cellIs" dxfId="854" priority="824" operator="greaterThan">
      <formula>0.05</formula>
    </cfRule>
  </conditionalFormatting>
  <conditionalFormatting sqref="H82:L82">
    <cfRule type="cellIs" dxfId="853" priority="821" operator="between">
      <formula>-0.05</formula>
      <formula>0.05</formula>
    </cfRule>
    <cfRule type="cellIs" dxfId="852" priority="823" operator="lessThan">
      <formula>-0.05</formula>
    </cfRule>
  </conditionalFormatting>
  <conditionalFormatting sqref="G83:L83">
    <cfRule type="containsText" dxfId="851" priority="818" operator="containsText" text="NA">
      <formula>NOT(ISERROR(SEARCH("NA",G83)))</formula>
    </cfRule>
    <cfRule type="cellIs" dxfId="850" priority="820" operator="greaterThan">
      <formula>0.05</formula>
    </cfRule>
  </conditionalFormatting>
  <conditionalFormatting sqref="G83:L83">
    <cfRule type="cellIs" dxfId="849" priority="817" operator="between">
      <formula>-0.05</formula>
      <formula>0.05</formula>
    </cfRule>
    <cfRule type="cellIs" dxfId="848" priority="819" operator="lessThan">
      <formula>-0.05</formula>
    </cfRule>
  </conditionalFormatting>
  <conditionalFormatting sqref="G84">
    <cfRule type="containsText" dxfId="847" priority="814" operator="containsText" text="NA">
      <formula>NOT(ISERROR(SEARCH("NA",G84)))</formula>
    </cfRule>
    <cfRule type="cellIs" dxfId="846" priority="816" operator="greaterThan">
      <formula>0.05</formula>
    </cfRule>
  </conditionalFormatting>
  <conditionalFormatting sqref="G84">
    <cfRule type="cellIs" dxfId="845" priority="813" operator="between">
      <formula>-0.05</formula>
      <formula>0.05</formula>
    </cfRule>
    <cfRule type="cellIs" dxfId="844" priority="815" operator="lessThan">
      <formula>-0.05</formula>
    </cfRule>
  </conditionalFormatting>
  <conditionalFormatting sqref="H84:L84">
    <cfRule type="containsText" dxfId="843" priority="810" operator="containsText" text="NA">
      <formula>NOT(ISERROR(SEARCH("NA",H84)))</formula>
    </cfRule>
    <cfRule type="cellIs" dxfId="842" priority="812" operator="greaterThan">
      <formula>0.05</formula>
    </cfRule>
  </conditionalFormatting>
  <conditionalFormatting sqref="H84:L84">
    <cfRule type="cellIs" dxfId="841" priority="809" operator="between">
      <formula>-0.05</formula>
      <formula>0.05</formula>
    </cfRule>
    <cfRule type="cellIs" dxfId="840" priority="811" operator="lessThan">
      <formula>-0.05</formula>
    </cfRule>
  </conditionalFormatting>
  <conditionalFormatting sqref="G85:L85">
    <cfRule type="containsText" dxfId="839" priority="806" operator="containsText" text="NA">
      <formula>NOT(ISERROR(SEARCH("NA",G85)))</formula>
    </cfRule>
    <cfRule type="cellIs" dxfId="838" priority="808" operator="greaterThan">
      <formula>0.05</formula>
    </cfRule>
  </conditionalFormatting>
  <conditionalFormatting sqref="G85:L85">
    <cfRule type="cellIs" dxfId="837" priority="805" operator="between">
      <formula>-0.05</formula>
      <formula>0.05</formula>
    </cfRule>
    <cfRule type="cellIs" dxfId="836" priority="807" operator="lessThan">
      <formula>-0.05</formula>
    </cfRule>
  </conditionalFormatting>
  <conditionalFormatting sqref="G86">
    <cfRule type="containsText" dxfId="835" priority="802" operator="containsText" text="NA">
      <formula>NOT(ISERROR(SEARCH("NA",G86)))</formula>
    </cfRule>
    <cfRule type="cellIs" dxfId="834" priority="804" operator="greaterThan">
      <formula>0.05</formula>
    </cfRule>
  </conditionalFormatting>
  <conditionalFormatting sqref="G86">
    <cfRule type="cellIs" dxfId="833" priority="801" operator="between">
      <formula>-0.05</formula>
      <formula>0.05</formula>
    </cfRule>
    <cfRule type="cellIs" dxfId="832" priority="803" operator="lessThan">
      <formula>-0.05</formula>
    </cfRule>
  </conditionalFormatting>
  <conditionalFormatting sqref="H86:L86">
    <cfRule type="containsText" dxfId="831" priority="798" operator="containsText" text="NA">
      <formula>NOT(ISERROR(SEARCH("NA",H86)))</formula>
    </cfRule>
    <cfRule type="cellIs" dxfId="830" priority="800" operator="greaterThan">
      <formula>0.05</formula>
    </cfRule>
  </conditionalFormatting>
  <conditionalFormatting sqref="H86:L86">
    <cfRule type="cellIs" dxfId="829" priority="797" operator="between">
      <formula>-0.05</formula>
      <formula>0.05</formula>
    </cfRule>
    <cfRule type="cellIs" dxfId="828" priority="799" operator="lessThan">
      <formula>-0.05</formula>
    </cfRule>
  </conditionalFormatting>
  <conditionalFormatting sqref="G87:L87">
    <cfRule type="containsText" dxfId="827" priority="794" operator="containsText" text="NA">
      <formula>NOT(ISERROR(SEARCH("NA",G87)))</formula>
    </cfRule>
    <cfRule type="cellIs" dxfId="826" priority="796" operator="greaterThan">
      <formula>0.05</formula>
    </cfRule>
  </conditionalFormatting>
  <conditionalFormatting sqref="G87:L87">
    <cfRule type="cellIs" dxfId="825" priority="793" operator="between">
      <formula>-0.05</formula>
      <formula>0.05</formula>
    </cfRule>
    <cfRule type="cellIs" dxfId="824" priority="795" operator="lessThan">
      <formula>-0.05</formula>
    </cfRule>
  </conditionalFormatting>
  <conditionalFormatting sqref="G88">
    <cfRule type="containsText" dxfId="823" priority="790" operator="containsText" text="NA">
      <formula>NOT(ISERROR(SEARCH("NA",G88)))</formula>
    </cfRule>
    <cfRule type="cellIs" dxfId="822" priority="792" operator="greaterThan">
      <formula>0.05</formula>
    </cfRule>
  </conditionalFormatting>
  <conditionalFormatting sqref="G88">
    <cfRule type="cellIs" dxfId="821" priority="789" operator="between">
      <formula>-0.05</formula>
      <formula>0.05</formula>
    </cfRule>
    <cfRule type="cellIs" dxfId="820" priority="791" operator="lessThan">
      <formula>-0.05</formula>
    </cfRule>
  </conditionalFormatting>
  <conditionalFormatting sqref="H88:L88">
    <cfRule type="containsText" dxfId="819" priority="786" operator="containsText" text="NA">
      <formula>NOT(ISERROR(SEARCH("NA",H88)))</formula>
    </cfRule>
    <cfRule type="cellIs" dxfId="818" priority="788" operator="greaterThan">
      <formula>0.05</formula>
    </cfRule>
  </conditionalFormatting>
  <conditionalFormatting sqref="H88:L88">
    <cfRule type="cellIs" dxfId="817" priority="785" operator="between">
      <formula>-0.05</formula>
      <formula>0.05</formula>
    </cfRule>
    <cfRule type="cellIs" dxfId="816" priority="787" operator="lessThan">
      <formula>-0.05</formula>
    </cfRule>
  </conditionalFormatting>
  <conditionalFormatting sqref="G89:L89">
    <cfRule type="containsText" dxfId="815" priority="782" operator="containsText" text="NA">
      <formula>NOT(ISERROR(SEARCH("NA",G89)))</formula>
    </cfRule>
    <cfRule type="cellIs" dxfId="814" priority="784" operator="greaterThan">
      <formula>0.05</formula>
    </cfRule>
  </conditionalFormatting>
  <conditionalFormatting sqref="G89:L89">
    <cfRule type="cellIs" dxfId="813" priority="781" operator="between">
      <formula>-0.05</formula>
      <formula>0.05</formula>
    </cfRule>
    <cfRule type="cellIs" dxfId="812" priority="783" operator="lessThan">
      <formula>-0.05</formula>
    </cfRule>
  </conditionalFormatting>
  <conditionalFormatting sqref="G90">
    <cfRule type="containsText" dxfId="811" priority="778" operator="containsText" text="NA">
      <formula>NOT(ISERROR(SEARCH("NA",G90)))</formula>
    </cfRule>
    <cfRule type="cellIs" dxfId="810" priority="780" operator="greaterThan">
      <formula>0.05</formula>
    </cfRule>
  </conditionalFormatting>
  <conditionalFormatting sqref="G90">
    <cfRule type="cellIs" dxfId="809" priority="777" operator="between">
      <formula>-0.05</formula>
      <formula>0.05</formula>
    </cfRule>
    <cfRule type="cellIs" dxfId="808" priority="779" operator="lessThan">
      <formula>-0.05</formula>
    </cfRule>
  </conditionalFormatting>
  <conditionalFormatting sqref="H90:L90">
    <cfRule type="containsText" dxfId="807" priority="774" operator="containsText" text="NA">
      <formula>NOT(ISERROR(SEARCH("NA",H90)))</formula>
    </cfRule>
    <cfRule type="cellIs" dxfId="806" priority="776" operator="greaterThan">
      <formula>0.05</formula>
    </cfRule>
  </conditionalFormatting>
  <conditionalFormatting sqref="H90:L90">
    <cfRule type="cellIs" dxfId="805" priority="773" operator="between">
      <formula>-0.05</formula>
      <formula>0.05</formula>
    </cfRule>
    <cfRule type="cellIs" dxfId="804" priority="775" operator="lessThan">
      <formula>-0.05</formula>
    </cfRule>
  </conditionalFormatting>
  <conditionalFormatting sqref="G91:L91">
    <cfRule type="containsText" dxfId="803" priority="770" operator="containsText" text="NA">
      <formula>NOT(ISERROR(SEARCH("NA",G91)))</formula>
    </cfRule>
    <cfRule type="cellIs" dxfId="802" priority="772" operator="greaterThan">
      <formula>0.05</formula>
    </cfRule>
  </conditionalFormatting>
  <conditionalFormatting sqref="G91:L91">
    <cfRule type="cellIs" dxfId="801" priority="769" operator="between">
      <formula>-0.05</formula>
      <formula>0.05</formula>
    </cfRule>
    <cfRule type="cellIs" dxfId="800" priority="771" operator="lessThan">
      <formula>-0.05</formula>
    </cfRule>
  </conditionalFormatting>
  <conditionalFormatting sqref="G92">
    <cfRule type="containsText" dxfId="799" priority="766" operator="containsText" text="NA">
      <formula>NOT(ISERROR(SEARCH("NA",G92)))</formula>
    </cfRule>
    <cfRule type="cellIs" dxfId="798" priority="768" operator="greaterThan">
      <formula>0.05</formula>
    </cfRule>
  </conditionalFormatting>
  <conditionalFormatting sqref="G92">
    <cfRule type="cellIs" dxfId="797" priority="765" operator="between">
      <formula>-0.05</formula>
      <formula>0.05</formula>
    </cfRule>
    <cfRule type="cellIs" dxfId="796" priority="767" operator="lessThan">
      <formula>-0.05</formula>
    </cfRule>
  </conditionalFormatting>
  <conditionalFormatting sqref="H92:L92">
    <cfRule type="containsText" dxfId="795" priority="762" operator="containsText" text="NA">
      <formula>NOT(ISERROR(SEARCH("NA",H92)))</formula>
    </cfRule>
    <cfRule type="cellIs" dxfId="794" priority="764" operator="greaterThan">
      <formula>0.05</formula>
    </cfRule>
  </conditionalFormatting>
  <conditionalFormatting sqref="H92:L92">
    <cfRule type="cellIs" dxfId="793" priority="761" operator="between">
      <formula>-0.05</formula>
      <formula>0.05</formula>
    </cfRule>
    <cfRule type="cellIs" dxfId="792" priority="763" operator="lessThan">
      <formula>-0.05</formula>
    </cfRule>
  </conditionalFormatting>
  <conditionalFormatting sqref="G93:L93">
    <cfRule type="containsText" dxfId="791" priority="758" operator="containsText" text="NA">
      <formula>NOT(ISERROR(SEARCH("NA",G93)))</formula>
    </cfRule>
    <cfRule type="cellIs" dxfId="790" priority="760" operator="greaterThan">
      <formula>0.05</formula>
    </cfRule>
  </conditionalFormatting>
  <conditionalFormatting sqref="G93:L93">
    <cfRule type="cellIs" dxfId="789" priority="757" operator="between">
      <formula>-0.05</formula>
      <formula>0.05</formula>
    </cfRule>
    <cfRule type="cellIs" dxfId="788" priority="759" operator="lessThan">
      <formula>-0.05</formula>
    </cfRule>
  </conditionalFormatting>
  <conditionalFormatting sqref="G94">
    <cfRule type="containsText" dxfId="787" priority="754" operator="containsText" text="NA">
      <formula>NOT(ISERROR(SEARCH("NA",G94)))</formula>
    </cfRule>
    <cfRule type="cellIs" dxfId="786" priority="756" operator="greaterThan">
      <formula>0.05</formula>
    </cfRule>
  </conditionalFormatting>
  <conditionalFormatting sqref="G94">
    <cfRule type="cellIs" dxfId="785" priority="753" operator="between">
      <formula>-0.05</formula>
      <formula>0.05</formula>
    </cfRule>
    <cfRule type="cellIs" dxfId="784" priority="755" operator="lessThan">
      <formula>-0.05</formula>
    </cfRule>
  </conditionalFormatting>
  <conditionalFormatting sqref="H94:L94">
    <cfRule type="containsText" dxfId="783" priority="750" operator="containsText" text="NA">
      <formula>NOT(ISERROR(SEARCH("NA",H94)))</formula>
    </cfRule>
    <cfRule type="cellIs" dxfId="782" priority="752" operator="greaterThan">
      <formula>0.05</formula>
    </cfRule>
  </conditionalFormatting>
  <conditionalFormatting sqref="H94:L94">
    <cfRule type="cellIs" dxfId="781" priority="749" operator="between">
      <formula>-0.05</formula>
      <formula>0.05</formula>
    </cfRule>
    <cfRule type="cellIs" dxfId="780" priority="751" operator="lessThan">
      <formula>-0.05</formula>
    </cfRule>
  </conditionalFormatting>
  <conditionalFormatting sqref="G95:L95">
    <cfRule type="containsText" dxfId="779" priority="746" operator="containsText" text="NA">
      <formula>NOT(ISERROR(SEARCH("NA",G95)))</formula>
    </cfRule>
    <cfRule type="cellIs" dxfId="778" priority="748" operator="greaterThan">
      <formula>0.05</formula>
    </cfRule>
  </conditionalFormatting>
  <conditionalFormatting sqref="G95:L95">
    <cfRule type="cellIs" dxfId="777" priority="745" operator="between">
      <formula>-0.05</formula>
      <formula>0.05</formula>
    </cfRule>
    <cfRule type="cellIs" dxfId="776" priority="747" operator="lessThan">
      <formula>-0.05</formula>
    </cfRule>
  </conditionalFormatting>
  <conditionalFormatting sqref="G96">
    <cfRule type="containsText" dxfId="775" priority="742" operator="containsText" text="NA">
      <formula>NOT(ISERROR(SEARCH("NA",G96)))</formula>
    </cfRule>
    <cfRule type="cellIs" dxfId="774" priority="744" operator="greaterThan">
      <formula>0.05</formula>
    </cfRule>
  </conditionalFormatting>
  <conditionalFormatting sqref="G96">
    <cfRule type="cellIs" dxfId="773" priority="741" operator="between">
      <formula>-0.05</formula>
      <formula>0.05</formula>
    </cfRule>
    <cfRule type="cellIs" dxfId="772" priority="743" operator="lessThan">
      <formula>-0.05</formula>
    </cfRule>
  </conditionalFormatting>
  <conditionalFormatting sqref="H96:L96">
    <cfRule type="containsText" dxfId="771" priority="738" operator="containsText" text="NA">
      <formula>NOT(ISERROR(SEARCH("NA",H96)))</formula>
    </cfRule>
    <cfRule type="cellIs" dxfId="770" priority="740" operator="greaterThan">
      <formula>0.05</formula>
    </cfRule>
  </conditionalFormatting>
  <conditionalFormatting sqref="H96:L96">
    <cfRule type="cellIs" dxfId="769" priority="737" operator="between">
      <formula>-0.05</formula>
      <formula>0.05</formula>
    </cfRule>
    <cfRule type="cellIs" dxfId="768" priority="739" operator="lessThan">
      <formula>-0.05</formula>
    </cfRule>
  </conditionalFormatting>
  <conditionalFormatting sqref="G97:L97">
    <cfRule type="containsText" dxfId="767" priority="734" operator="containsText" text="NA">
      <formula>NOT(ISERROR(SEARCH("NA",G97)))</formula>
    </cfRule>
    <cfRule type="cellIs" dxfId="766" priority="736" operator="greaterThan">
      <formula>0.05</formula>
    </cfRule>
  </conditionalFormatting>
  <conditionalFormatting sqref="G97:L97">
    <cfRule type="cellIs" dxfId="765" priority="733" operator="between">
      <formula>-0.05</formula>
      <formula>0.05</formula>
    </cfRule>
    <cfRule type="cellIs" dxfId="764" priority="735" operator="lessThan">
      <formula>-0.05</formula>
    </cfRule>
  </conditionalFormatting>
  <conditionalFormatting sqref="G98">
    <cfRule type="containsText" dxfId="763" priority="730" operator="containsText" text="NA">
      <formula>NOT(ISERROR(SEARCH("NA",G98)))</formula>
    </cfRule>
    <cfRule type="cellIs" dxfId="762" priority="732" operator="greaterThan">
      <formula>0.05</formula>
    </cfRule>
  </conditionalFormatting>
  <conditionalFormatting sqref="G98">
    <cfRule type="cellIs" dxfId="761" priority="729" operator="between">
      <formula>-0.05</formula>
      <formula>0.05</formula>
    </cfRule>
    <cfRule type="cellIs" dxfId="760" priority="731" operator="lessThan">
      <formula>-0.05</formula>
    </cfRule>
  </conditionalFormatting>
  <conditionalFormatting sqref="H98:L98">
    <cfRule type="containsText" dxfId="759" priority="726" operator="containsText" text="NA">
      <formula>NOT(ISERROR(SEARCH("NA",H98)))</formula>
    </cfRule>
    <cfRule type="cellIs" dxfId="758" priority="728" operator="greaterThan">
      <formula>0.05</formula>
    </cfRule>
  </conditionalFormatting>
  <conditionalFormatting sqref="H98:L98">
    <cfRule type="cellIs" dxfId="757" priority="725" operator="between">
      <formula>-0.05</formula>
      <formula>0.05</formula>
    </cfRule>
    <cfRule type="cellIs" dxfId="756" priority="727" operator="lessThan">
      <formula>-0.05</formula>
    </cfRule>
  </conditionalFormatting>
  <conditionalFormatting sqref="G99:L99">
    <cfRule type="containsText" dxfId="755" priority="722" operator="containsText" text="NA">
      <formula>NOT(ISERROR(SEARCH("NA",G99)))</formula>
    </cfRule>
    <cfRule type="cellIs" dxfId="754" priority="724" operator="greaterThan">
      <formula>0.05</formula>
    </cfRule>
  </conditionalFormatting>
  <conditionalFormatting sqref="G99:L99">
    <cfRule type="cellIs" dxfId="753" priority="721" operator="between">
      <formula>-0.05</formula>
      <formula>0.05</formula>
    </cfRule>
    <cfRule type="cellIs" dxfId="752" priority="723" operator="lessThan">
      <formula>-0.05</formula>
    </cfRule>
  </conditionalFormatting>
  <conditionalFormatting sqref="G100">
    <cfRule type="containsText" dxfId="751" priority="718" operator="containsText" text="NA">
      <formula>NOT(ISERROR(SEARCH("NA",G100)))</formula>
    </cfRule>
    <cfRule type="cellIs" dxfId="750" priority="720" operator="greaterThan">
      <formula>0.05</formula>
    </cfRule>
  </conditionalFormatting>
  <conditionalFormatting sqref="G100">
    <cfRule type="cellIs" dxfId="749" priority="717" operator="between">
      <formula>-0.05</formula>
      <formula>0.05</formula>
    </cfRule>
    <cfRule type="cellIs" dxfId="748" priority="719" operator="lessThan">
      <formula>-0.05</formula>
    </cfRule>
  </conditionalFormatting>
  <conditionalFormatting sqref="H100:L100">
    <cfRule type="containsText" dxfId="747" priority="714" operator="containsText" text="NA">
      <formula>NOT(ISERROR(SEARCH("NA",H100)))</formula>
    </cfRule>
    <cfRule type="cellIs" dxfId="746" priority="716" operator="greaterThan">
      <formula>0.05</formula>
    </cfRule>
  </conditionalFormatting>
  <conditionalFormatting sqref="H100:L100">
    <cfRule type="cellIs" dxfId="745" priority="713" operator="between">
      <formula>-0.05</formula>
      <formula>0.05</formula>
    </cfRule>
    <cfRule type="cellIs" dxfId="744" priority="715" operator="lessThan">
      <formula>-0.05</formula>
    </cfRule>
  </conditionalFormatting>
  <conditionalFormatting sqref="G101:L101">
    <cfRule type="containsText" dxfId="743" priority="710" operator="containsText" text="NA">
      <formula>NOT(ISERROR(SEARCH("NA",G101)))</formula>
    </cfRule>
    <cfRule type="cellIs" dxfId="742" priority="712" operator="greaterThan">
      <formula>0.05</formula>
    </cfRule>
  </conditionalFormatting>
  <conditionalFormatting sqref="G101:L101">
    <cfRule type="cellIs" dxfId="741" priority="709" operator="between">
      <formula>-0.05</formula>
      <formula>0.05</formula>
    </cfRule>
    <cfRule type="cellIs" dxfId="740" priority="711" operator="lessThan">
      <formula>-0.05</formula>
    </cfRule>
  </conditionalFormatting>
  <conditionalFormatting sqref="G102">
    <cfRule type="containsText" dxfId="739" priority="706" operator="containsText" text="NA">
      <formula>NOT(ISERROR(SEARCH("NA",G102)))</formula>
    </cfRule>
    <cfRule type="cellIs" dxfId="738" priority="708" operator="greaterThan">
      <formula>0.05</formula>
    </cfRule>
  </conditionalFormatting>
  <conditionalFormatting sqref="G102">
    <cfRule type="cellIs" dxfId="737" priority="705" operator="between">
      <formula>-0.05</formula>
      <formula>0.05</formula>
    </cfRule>
    <cfRule type="cellIs" dxfId="736" priority="707" operator="lessThan">
      <formula>-0.05</formula>
    </cfRule>
  </conditionalFormatting>
  <conditionalFormatting sqref="H102:L102">
    <cfRule type="containsText" dxfId="735" priority="702" operator="containsText" text="NA">
      <formula>NOT(ISERROR(SEARCH("NA",H102)))</formula>
    </cfRule>
    <cfRule type="cellIs" dxfId="734" priority="704" operator="greaterThan">
      <formula>0.05</formula>
    </cfRule>
  </conditionalFormatting>
  <conditionalFormatting sqref="H102:L102">
    <cfRule type="cellIs" dxfId="733" priority="701" operator="between">
      <formula>-0.05</formula>
      <formula>0.05</formula>
    </cfRule>
    <cfRule type="cellIs" dxfId="732" priority="703" operator="lessThan">
      <formula>-0.05</formula>
    </cfRule>
  </conditionalFormatting>
  <conditionalFormatting sqref="G103:L103">
    <cfRule type="containsText" dxfId="731" priority="698" operator="containsText" text="NA">
      <formula>NOT(ISERROR(SEARCH("NA",G103)))</formula>
    </cfRule>
    <cfRule type="cellIs" dxfId="730" priority="700" operator="greaterThan">
      <formula>0.05</formula>
    </cfRule>
  </conditionalFormatting>
  <conditionalFormatting sqref="G103:L103">
    <cfRule type="cellIs" dxfId="729" priority="697" operator="between">
      <formula>-0.05</formula>
      <formula>0.05</formula>
    </cfRule>
    <cfRule type="cellIs" dxfId="728" priority="699" operator="lessThan">
      <formula>-0.05</formula>
    </cfRule>
  </conditionalFormatting>
  <conditionalFormatting sqref="G104">
    <cfRule type="containsText" dxfId="727" priority="694" operator="containsText" text="NA">
      <formula>NOT(ISERROR(SEARCH("NA",G104)))</formula>
    </cfRule>
    <cfRule type="cellIs" dxfId="726" priority="696" operator="greaterThan">
      <formula>0.05</formula>
    </cfRule>
  </conditionalFormatting>
  <conditionalFormatting sqref="G104">
    <cfRule type="cellIs" dxfId="725" priority="693" operator="between">
      <formula>-0.05</formula>
      <formula>0.05</formula>
    </cfRule>
    <cfRule type="cellIs" dxfId="724" priority="695" operator="lessThan">
      <formula>-0.05</formula>
    </cfRule>
  </conditionalFormatting>
  <conditionalFormatting sqref="H104:L104">
    <cfRule type="containsText" dxfId="723" priority="690" operator="containsText" text="NA">
      <formula>NOT(ISERROR(SEARCH("NA",H104)))</formula>
    </cfRule>
    <cfRule type="cellIs" dxfId="722" priority="692" operator="greaterThan">
      <formula>0.05</formula>
    </cfRule>
  </conditionalFormatting>
  <conditionalFormatting sqref="H104:L104">
    <cfRule type="cellIs" dxfId="721" priority="689" operator="between">
      <formula>-0.05</formula>
      <formula>0.05</formula>
    </cfRule>
    <cfRule type="cellIs" dxfId="720" priority="691" operator="lessThan">
      <formula>-0.05</formula>
    </cfRule>
  </conditionalFormatting>
  <conditionalFormatting sqref="G105:L105">
    <cfRule type="containsText" dxfId="719" priority="686" operator="containsText" text="NA">
      <formula>NOT(ISERROR(SEARCH("NA",G105)))</formula>
    </cfRule>
    <cfRule type="cellIs" dxfId="718" priority="688" operator="greaterThan">
      <formula>0.05</formula>
    </cfRule>
  </conditionalFormatting>
  <conditionalFormatting sqref="G105:L105">
    <cfRule type="cellIs" dxfId="717" priority="685" operator="between">
      <formula>-0.05</formula>
      <formula>0.05</formula>
    </cfRule>
    <cfRule type="cellIs" dxfId="716" priority="687" operator="lessThan">
      <formula>-0.05</formula>
    </cfRule>
  </conditionalFormatting>
  <conditionalFormatting sqref="G106">
    <cfRule type="containsText" dxfId="715" priority="682" operator="containsText" text="NA">
      <formula>NOT(ISERROR(SEARCH("NA",G106)))</formula>
    </cfRule>
    <cfRule type="cellIs" dxfId="714" priority="684" operator="greaterThan">
      <formula>0.05</formula>
    </cfRule>
  </conditionalFormatting>
  <conditionalFormatting sqref="G106">
    <cfRule type="cellIs" dxfId="713" priority="681" operator="between">
      <formula>-0.05</formula>
      <formula>0.05</formula>
    </cfRule>
    <cfRule type="cellIs" dxfId="712" priority="683" operator="lessThan">
      <formula>-0.05</formula>
    </cfRule>
  </conditionalFormatting>
  <conditionalFormatting sqref="H106:L106">
    <cfRule type="containsText" dxfId="711" priority="678" operator="containsText" text="NA">
      <formula>NOT(ISERROR(SEARCH("NA",H106)))</formula>
    </cfRule>
    <cfRule type="cellIs" dxfId="710" priority="680" operator="greaterThan">
      <formula>0.05</formula>
    </cfRule>
  </conditionalFormatting>
  <conditionalFormatting sqref="H106:L106">
    <cfRule type="cellIs" dxfId="709" priority="677" operator="between">
      <formula>-0.05</formula>
      <formula>0.05</formula>
    </cfRule>
    <cfRule type="cellIs" dxfId="708" priority="679" operator="lessThan">
      <formula>-0.05</formula>
    </cfRule>
  </conditionalFormatting>
  <conditionalFormatting sqref="G107:L107">
    <cfRule type="containsText" dxfId="707" priority="674" operator="containsText" text="NA">
      <formula>NOT(ISERROR(SEARCH("NA",G107)))</formula>
    </cfRule>
    <cfRule type="cellIs" dxfId="706" priority="676" operator="greaterThan">
      <formula>0.05</formula>
    </cfRule>
  </conditionalFormatting>
  <conditionalFormatting sqref="G107:L107">
    <cfRule type="cellIs" dxfId="705" priority="673" operator="between">
      <formula>-0.05</formula>
      <formula>0.05</formula>
    </cfRule>
    <cfRule type="cellIs" dxfId="704" priority="675" operator="lessThan">
      <formula>-0.05</formula>
    </cfRule>
  </conditionalFormatting>
  <conditionalFormatting sqref="G108">
    <cfRule type="containsText" dxfId="703" priority="670" operator="containsText" text="NA">
      <formula>NOT(ISERROR(SEARCH("NA",G108)))</formula>
    </cfRule>
    <cfRule type="cellIs" dxfId="702" priority="672" operator="greaterThan">
      <formula>0.05</formula>
    </cfRule>
  </conditionalFormatting>
  <conditionalFormatting sqref="G108">
    <cfRule type="cellIs" dxfId="701" priority="669" operator="between">
      <formula>-0.05</formula>
      <formula>0.05</formula>
    </cfRule>
    <cfRule type="cellIs" dxfId="700" priority="671" operator="lessThan">
      <formula>-0.05</formula>
    </cfRule>
  </conditionalFormatting>
  <conditionalFormatting sqref="H108:L108">
    <cfRule type="containsText" dxfId="699" priority="666" operator="containsText" text="NA">
      <formula>NOT(ISERROR(SEARCH("NA",H108)))</formula>
    </cfRule>
    <cfRule type="cellIs" dxfId="698" priority="668" operator="greaterThan">
      <formula>0.05</formula>
    </cfRule>
  </conditionalFormatting>
  <conditionalFormatting sqref="H108:L108">
    <cfRule type="cellIs" dxfId="697" priority="665" operator="between">
      <formula>-0.05</formula>
      <formula>0.05</formula>
    </cfRule>
    <cfRule type="cellIs" dxfId="696" priority="667" operator="lessThan">
      <formula>-0.05</formula>
    </cfRule>
  </conditionalFormatting>
  <conditionalFormatting sqref="G109:L109">
    <cfRule type="containsText" dxfId="695" priority="662" operator="containsText" text="NA">
      <formula>NOT(ISERROR(SEARCH("NA",G109)))</formula>
    </cfRule>
    <cfRule type="cellIs" dxfId="694" priority="664" operator="greaterThan">
      <formula>0.05</formula>
    </cfRule>
  </conditionalFormatting>
  <conditionalFormatting sqref="G109:L109">
    <cfRule type="cellIs" dxfId="693" priority="661" operator="between">
      <formula>-0.05</formula>
      <formula>0.05</formula>
    </cfRule>
    <cfRule type="cellIs" dxfId="692" priority="663" operator="lessThan">
      <formula>-0.05</formula>
    </cfRule>
  </conditionalFormatting>
  <conditionalFormatting sqref="G110">
    <cfRule type="containsText" dxfId="691" priority="658" operator="containsText" text="NA">
      <formula>NOT(ISERROR(SEARCH("NA",G110)))</formula>
    </cfRule>
    <cfRule type="cellIs" dxfId="690" priority="660" operator="greaterThan">
      <formula>0.05</formula>
    </cfRule>
  </conditionalFormatting>
  <conditionalFormatting sqref="G110">
    <cfRule type="cellIs" dxfId="689" priority="657" operator="between">
      <formula>-0.05</formula>
      <formula>0.05</formula>
    </cfRule>
    <cfRule type="cellIs" dxfId="688" priority="659" operator="lessThan">
      <formula>-0.05</formula>
    </cfRule>
  </conditionalFormatting>
  <conditionalFormatting sqref="H110:L110">
    <cfRule type="containsText" dxfId="687" priority="654" operator="containsText" text="NA">
      <formula>NOT(ISERROR(SEARCH("NA",H110)))</formula>
    </cfRule>
    <cfRule type="cellIs" dxfId="686" priority="656" operator="greaterThan">
      <formula>0.05</formula>
    </cfRule>
  </conditionalFormatting>
  <conditionalFormatting sqref="H110:L110">
    <cfRule type="cellIs" dxfId="685" priority="653" operator="between">
      <formula>-0.05</formula>
      <formula>0.05</formula>
    </cfRule>
    <cfRule type="cellIs" dxfId="684" priority="655" operator="lessThan">
      <formula>-0.05</formula>
    </cfRule>
  </conditionalFormatting>
  <conditionalFormatting sqref="G111:L111">
    <cfRule type="containsText" dxfId="683" priority="650" operator="containsText" text="NA">
      <formula>NOT(ISERROR(SEARCH("NA",G111)))</formula>
    </cfRule>
    <cfRule type="cellIs" dxfId="682" priority="652" operator="greaterThan">
      <formula>0.05</formula>
    </cfRule>
  </conditionalFormatting>
  <conditionalFormatting sqref="G111:L111">
    <cfRule type="cellIs" dxfId="681" priority="649" operator="between">
      <formula>-0.05</formula>
      <formula>0.05</formula>
    </cfRule>
    <cfRule type="cellIs" dxfId="680" priority="651" operator="lessThan">
      <formula>-0.05</formula>
    </cfRule>
  </conditionalFormatting>
  <conditionalFormatting sqref="G112">
    <cfRule type="containsText" dxfId="679" priority="646" operator="containsText" text="NA">
      <formula>NOT(ISERROR(SEARCH("NA",G112)))</formula>
    </cfRule>
    <cfRule type="cellIs" dxfId="678" priority="648" operator="greaterThan">
      <formula>0.05</formula>
    </cfRule>
  </conditionalFormatting>
  <conditionalFormatting sqref="G112">
    <cfRule type="cellIs" dxfId="677" priority="645" operator="between">
      <formula>-0.05</formula>
      <formula>0.05</formula>
    </cfRule>
    <cfRule type="cellIs" dxfId="676" priority="647" operator="lessThan">
      <formula>-0.05</formula>
    </cfRule>
  </conditionalFormatting>
  <conditionalFormatting sqref="H112:L112">
    <cfRule type="containsText" dxfId="675" priority="642" operator="containsText" text="NA">
      <formula>NOT(ISERROR(SEARCH("NA",H112)))</formula>
    </cfRule>
    <cfRule type="cellIs" dxfId="674" priority="644" operator="greaterThan">
      <formula>0.05</formula>
    </cfRule>
  </conditionalFormatting>
  <conditionalFormatting sqref="H112:L112">
    <cfRule type="cellIs" dxfId="673" priority="641" operator="between">
      <formula>-0.05</formula>
      <formula>0.05</formula>
    </cfRule>
    <cfRule type="cellIs" dxfId="672" priority="643" operator="lessThan">
      <formula>-0.05</formula>
    </cfRule>
  </conditionalFormatting>
  <conditionalFormatting sqref="G113:L113">
    <cfRule type="containsText" dxfId="671" priority="638" operator="containsText" text="NA">
      <formula>NOT(ISERROR(SEARCH("NA",G113)))</formula>
    </cfRule>
    <cfRule type="cellIs" dxfId="670" priority="640" operator="greaterThan">
      <formula>0.05</formula>
    </cfRule>
  </conditionalFormatting>
  <conditionalFormatting sqref="G113:L113">
    <cfRule type="cellIs" dxfId="669" priority="637" operator="between">
      <formula>-0.05</formula>
      <formula>0.05</formula>
    </cfRule>
    <cfRule type="cellIs" dxfId="668" priority="639" operator="lessThan">
      <formula>-0.05</formula>
    </cfRule>
  </conditionalFormatting>
  <conditionalFormatting sqref="G114">
    <cfRule type="containsText" dxfId="667" priority="634" operator="containsText" text="NA">
      <formula>NOT(ISERROR(SEARCH("NA",G114)))</formula>
    </cfRule>
    <cfRule type="cellIs" dxfId="666" priority="636" operator="greaterThan">
      <formula>0.05</formula>
    </cfRule>
  </conditionalFormatting>
  <conditionalFormatting sqref="G114">
    <cfRule type="cellIs" dxfId="665" priority="633" operator="between">
      <formula>-0.05</formula>
      <formula>0.05</formula>
    </cfRule>
    <cfRule type="cellIs" dxfId="664" priority="635" operator="lessThan">
      <formula>-0.05</formula>
    </cfRule>
  </conditionalFormatting>
  <conditionalFormatting sqref="H114:L114">
    <cfRule type="containsText" dxfId="663" priority="630" operator="containsText" text="NA">
      <formula>NOT(ISERROR(SEARCH("NA",H114)))</formula>
    </cfRule>
    <cfRule type="cellIs" dxfId="662" priority="632" operator="greaterThan">
      <formula>0.05</formula>
    </cfRule>
  </conditionalFormatting>
  <conditionalFormatting sqref="H114:L114">
    <cfRule type="cellIs" dxfId="661" priority="629" operator="between">
      <formula>-0.05</formula>
      <formula>0.05</formula>
    </cfRule>
    <cfRule type="cellIs" dxfId="660" priority="631" operator="lessThan">
      <formula>-0.05</formula>
    </cfRule>
  </conditionalFormatting>
  <conditionalFormatting sqref="G115:L115">
    <cfRule type="containsText" dxfId="659" priority="626" operator="containsText" text="NA">
      <formula>NOT(ISERROR(SEARCH("NA",G115)))</formula>
    </cfRule>
    <cfRule type="cellIs" dxfId="658" priority="628" operator="greaterThan">
      <formula>0.05</formula>
    </cfRule>
  </conditionalFormatting>
  <conditionalFormatting sqref="G115:L115">
    <cfRule type="cellIs" dxfId="657" priority="625" operator="between">
      <formula>-0.05</formula>
      <formula>0.05</formula>
    </cfRule>
    <cfRule type="cellIs" dxfId="656" priority="627" operator="lessThan">
      <formula>-0.05</formula>
    </cfRule>
  </conditionalFormatting>
  <conditionalFormatting sqref="G116">
    <cfRule type="containsText" dxfId="655" priority="622" operator="containsText" text="NA">
      <formula>NOT(ISERROR(SEARCH("NA",G116)))</formula>
    </cfRule>
    <cfRule type="cellIs" dxfId="654" priority="624" operator="greaterThan">
      <formula>0.05</formula>
    </cfRule>
  </conditionalFormatting>
  <conditionalFormatting sqref="G116">
    <cfRule type="cellIs" dxfId="653" priority="621" operator="between">
      <formula>-0.05</formula>
      <formula>0.05</formula>
    </cfRule>
    <cfRule type="cellIs" dxfId="652" priority="623" operator="lessThan">
      <formula>-0.05</formula>
    </cfRule>
  </conditionalFormatting>
  <conditionalFormatting sqref="H116:L116">
    <cfRule type="containsText" dxfId="651" priority="618" operator="containsText" text="NA">
      <formula>NOT(ISERROR(SEARCH("NA",H116)))</formula>
    </cfRule>
    <cfRule type="cellIs" dxfId="650" priority="620" operator="greaterThan">
      <formula>0.05</formula>
    </cfRule>
  </conditionalFormatting>
  <conditionalFormatting sqref="H116:L116">
    <cfRule type="cellIs" dxfId="649" priority="617" operator="between">
      <formula>-0.05</formula>
      <formula>0.05</formula>
    </cfRule>
    <cfRule type="cellIs" dxfId="648" priority="619" operator="lessThan">
      <formula>-0.05</formula>
    </cfRule>
  </conditionalFormatting>
  <conditionalFormatting sqref="G117:L117">
    <cfRule type="containsText" dxfId="647" priority="614" operator="containsText" text="NA">
      <formula>NOT(ISERROR(SEARCH("NA",G117)))</formula>
    </cfRule>
    <cfRule type="cellIs" dxfId="646" priority="616" operator="greaterThan">
      <formula>0.05</formula>
    </cfRule>
  </conditionalFormatting>
  <conditionalFormatting sqref="G117:L117">
    <cfRule type="cellIs" dxfId="645" priority="613" operator="between">
      <formula>-0.05</formula>
      <formula>0.05</formula>
    </cfRule>
    <cfRule type="cellIs" dxfId="644" priority="615" operator="lessThan">
      <formula>-0.05</formula>
    </cfRule>
  </conditionalFormatting>
  <conditionalFormatting sqref="G118">
    <cfRule type="containsText" dxfId="643" priority="610" operator="containsText" text="NA">
      <formula>NOT(ISERROR(SEARCH("NA",G118)))</formula>
    </cfRule>
    <cfRule type="cellIs" dxfId="642" priority="612" operator="greaterThan">
      <formula>0.05</formula>
    </cfRule>
  </conditionalFormatting>
  <conditionalFormatting sqref="G118">
    <cfRule type="cellIs" dxfId="641" priority="609" operator="between">
      <formula>-0.05</formula>
      <formula>0.05</formula>
    </cfRule>
    <cfRule type="cellIs" dxfId="640" priority="611" operator="lessThan">
      <formula>-0.05</formula>
    </cfRule>
  </conditionalFormatting>
  <conditionalFormatting sqref="H118:L118">
    <cfRule type="containsText" dxfId="639" priority="606" operator="containsText" text="NA">
      <formula>NOT(ISERROR(SEARCH("NA",H118)))</formula>
    </cfRule>
    <cfRule type="cellIs" dxfId="638" priority="608" operator="greaterThan">
      <formula>0.05</formula>
    </cfRule>
  </conditionalFormatting>
  <conditionalFormatting sqref="H118:L118">
    <cfRule type="cellIs" dxfId="637" priority="605" operator="between">
      <formula>-0.05</formula>
      <formula>0.05</formula>
    </cfRule>
    <cfRule type="cellIs" dxfId="636" priority="607" operator="lessThan">
      <formula>-0.05</formula>
    </cfRule>
  </conditionalFormatting>
  <conditionalFormatting sqref="G119:L119">
    <cfRule type="containsText" dxfId="635" priority="602" operator="containsText" text="NA">
      <formula>NOT(ISERROR(SEARCH("NA",G119)))</formula>
    </cfRule>
    <cfRule type="cellIs" dxfId="634" priority="604" operator="greaterThan">
      <formula>0.05</formula>
    </cfRule>
  </conditionalFormatting>
  <conditionalFormatting sqref="G119:L119">
    <cfRule type="cellIs" dxfId="633" priority="601" operator="between">
      <formula>-0.05</formula>
      <formula>0.05</formula>
    </cfRule>
    <cfRule type="cellIs" dxfId="632" priority="603" operator="lessThan">
      <formula>-0.05</formula>
    </cfRule>
  </conditionalFormatting>
  <conditionalFormatting sqref="G120">
    <cfRule type="containsText" dxfId="631" priority="598" operator="containsText" text="NA">
      <formula>NOT(ISERROR(SEARCH("NA",G120)))</formula>
    </cfRule>
    <cfRule type="cellIs" dxfId="630" priority="600" operator="greaterThan">
      <formula>0.05</formula>
    </cfRule>
  </conditionalFormatting>
  <conditionalFormatting sqref="G120">
    <cfRule type="cellIs" dxfId="629" priority="597" operator="between">
      <formula>-0.05</formula>
      <formula>0.05</formula>
    </cfRule>
    <cfRule type="cellIs" dxfId="628" priority="599" operator="lessThan">
      <formula>-0.05</formula>
    </cfRule>
  </conditionalFormatting>
  <conditionalFormatting sqref="H120:L120">
    <cfRule type="containsText" dxfId="627" priority="594" operator="containsText" text="NA">
      <formula>NOT(ISERROR(SEARCH("NA",H120)))</formula>
    </cfRule>
    <cfRule type="cellIs" dxfId="626" priority="596" operator="greaterThan">
      <formula>0.05</formula>
    </cfRule>
  </conditionalFormatting>
  <conditionalFormatting sqref="H120:L120">
    <cfRule type="cellIs" dxfId="625" priority="593" operator="between">
      <formula>-0.05</formula>
      <formula>0.05</formula>
    </cfRule>
    <cfRule type="cellIs" dxfId="624" priority="595" operator="lessThan">
      <formula>-0.05</formula>
    </cfRule>
  </conditionalFormatting>
  <conditionalFormatting sqref="G121:L121">
    <cfRule type="containsText" dxfId="623" priority="590" operator="containsText" text="NA">
      <formula>NOT(ISERROR(SEARCH("NA",G121)))</formula>
    </cfRule>
    <cfRule type="cellIs" dxfId="622" priority="592" operator="greaterThan">
      <formula>0.05</formula>
    </cfRule>
  </conditionalFormatting>
  <conditionalFormatting sqref="G121:L121">
    <cfRule type="cellIs" dxfId="621" priority="589" operator="between">
      <formula>-0.05</formula>
      <formula>0.05</formula>
    </cfRule>
    <cfRule type="cellIs" dxfId="620" priority="591" operator="lessThan">
      <formula>-0.05</formula>
    </cfRule>
  </conditionalFormatting>
  <conditionalFormatting sqref="G122">
    <cfRule type="containsText" dxfId="619" priority="586" operator="containsText" text="NA">
      <formula>NOT(ISERROR(SEARCH("NA",G122)))</formula>
    </cfRule>
    <cfRule type="cellIs" dxfId="618" priority="588" operator="greaterThan">
      <formula>0.05</formula>
    </cfRule>
  </conditionalFormatting>
  <conditionalFormatting sqref="G122">
    <cfRule type="cellIs" dxfId="617" priority="585" operator="between">
      <formula>-0.05</formula>
      <formula>0.05</formula>
    </cfRule>
    <cfRule type="cellIs" dxfId="616" priority="587" operator="lessThan">
      <formula>-0.05</formula>
    </cfRule>
  </conditionalFormatting>
  <conditionalFormatting sqref="H122:L122">
    <cfRule type="containsText" dxfId="615" priority="582" operator="containsText" text="NA">
      <formula>NOT(ISERROR(SEARCH("NA",H122)))</formula>
    </cfRule>
    <cfRule type="cellIs" dxfId="614" priority="584" operator="greaterThan">
      <formula>0.05</formula>
    </cfRule>
  </conditionalFormatting>
  <conditionalFormatting sqref="H122:L122">
    <cfRule type="cellIs" dxfId="613" priority="581" operator="between">
      <formula>-0.05</formula>
      <formula>0.05</formula>
    </cfRule>
    <cfRule type="cellIs" dxfId="612" priority="583" operator="lessThan">
      <formula>-0.05</formula>
    </cfRule>
  </conditionalFormatting>
  <conditionalFormatting sqref="G123:L123">
    <cfRule type="containsText" dxfId="611" priority="578" operator="containsText" text="NA">
      <formula>NOT(ISERROR(SEARCH("NA",G123)))</formula>
    </cfRule>
    <cfRule type="cellIs" dxfId="610" priority="580" operator="greaterThan">
      <formula>0.05</formula>
    </cfRule>
  </conditionalFormatting>
  <conditionalFormatting sqref="G123:L123">
    <cfRule type="cellIs" dxfId="609" priority="577" operator="between">
      <formula>-0.05</formula>
      <formula>0.05</formula>
    </cfRule>
    <cfRule type="cellIs" dxfId="608" priority="579" operator="lessThan">
      <formula>-0.05</formula>
    </cfRule>
  </conditionalFormatting>
  <conditionalFormatting sqref="G124">
    <cfRule type="containsText" dxfId="607" priority="574" operator="containsText" text="NA">
      <formula>NOT(ISERROR(SEARCH("NA",G124)))</formula>
    </cfRule>
    <cfRule type="cellIs" dxfId="606" priority="576" operator="greaterThan">
      <formula>0.05</formula>
    </cfRule>
  </conditionalFormatting>
  <conditionalFormatting sqref="G124">
    <cfRule type="cellIs" dxfId="605" priority="573" operator="between">
      <formula>-0.05</formula>
      <formula>0.05</formula>
    </cfRule>
    <cfRule type="cellIs" dxfId="604" priority="575" operator="lessThan">
      <formula>-0.05</formula>
    </cfRule>
  </conditionalFormatting>
  <conditionalFormatting sqref="H124:L124">
    <cfRule type="containsText" dxfId="603" priority="570" operator="containsText" text="NA">
      <formula>NOT(ISERROR(SEARCH("NA",H124)))</formula>
    </cfRule>
    <cfRule type="cellIs" dxfId="602" priority="572" operator="greaterThan">
      <formula>0.05</formula>
    </cfRule>
  </conditionalFormatting>
  <conditionalFormatting sqref="H124:L124">
    <cfRule type="cellIs" dxfId="601" priority="569" operator="between">
      <formula>-0.05</formula>
      <formula>0.05</formula>
    </cfRule>
    <cfRule type="cellIs" dxfId="600" priority="571" operator="lessThan">
      <formula>-0.05</formula>
    </cfRule>
  </conditionalFormatting>
  <conditionalFormatting sqref="G125:L125">
    <cfRule type="containsText" dxfId="599" priority="566" operator="containsText" text="NA">
      <formula>NOT(ISERROR(SEARCH("NA",G125)))</formula>
    </cfRule>
    <cfRule type="cellIs" dxfId="598" priority="568" operator="greaterThan">
      <formula>0.05</formula>
    </cfRule>
  </conditionalFormatting>
  <conditionalFormatting sqref="G125:L125">
    <cfRule type="cellIs" dxfId="597" priority="565" operator="between">
      <formula>-0.05</formula>
      <formula>0.05</formula>
    </cfRule>
    <cfRule type="cellIs" dxfId="596" priority="567" operator="lessThan">
      <formula>-0.05</formula>
    </cfRule>
  </conditionalFormatting>
  <conditionalFormatting sqref="G126">
    <cfRule type="containsText" dxfId="595" priority="562" operator="containsText" text="NA">
      <formula>NOT(ISERROR(SEARCH("NA",G126)))</formula>
    </cfRule>
    <cfRule type="cellIs" dxfId="594" priority="564" operator="greaterThan">
      <formula>0.05</formula>
    </cfRule>
  </conditionalFormatting>
  <conditionalFormatting sqref="G126">
    <cfRule type="cellIs" dxfId="593" priority="561" operator="between">
      <formula>-0.05</formula>
      <formula>0.05</formula>
    </cfRule>
    <cfRule type="cellIs" dxfId="592" priority="563" operator="lessThan">
      <formula>-0.05</formula>
    </cfRule>
  </conditionalFormatting>
  <conditionalFormatting sqref="H126:L126">
    <cfRule type="containsText" dxfId="591" priority="558" operator="containsText" text="NA">
      <formula>NOT(ISERROR(SEARCH("NA",H126)))</formula>
    </cfRule>
    <cfRule type="cellIs" dxfId="590" priority="560" operator="greaterThan">
      <formula>0.05</formula>
    </cfRule>
  </conditionalFormatting>
  <conditionalFormatting sqref="H126:L126">
    <cfRule type="cellIs" dxfId="589" priority="557" operator="between">
      <formula>-0.05</formula>
      <formula>0.05</formula>
    </cfRule>
    <cfRule type="cellIs" dxfId="588" priority="559" operator="lessThan">
      <formula>-0.05</formula>
    </cfRule>
  </conditionalFormatting>
  <conditionalFormatting sqref="G127:L127">
    <cfRule type="containsText" dxfId="587" priority="554" operator="containsText" text="NA">
      <formula>NOT(ISERROR(SEARCH("NA",G127)))</formula>
    </cfRule>
    <cfRule type="cellIs" dxfId="586" priority="556" operator="greaterThan">
      <formula>0.05</formula>
    </cfRule>
  </conditionalFormatting>
  <conditionalFormatting sqref="G127:L127">
    <cfRule type="cellIs" dxfId="585" priority="553" operator="between">
      <formula>-0.05</formula>
      <formula>0.05</formula>
    </cfRule>
    <cfRule type="cellIs" dxfId="584" priority="555" operator="lessThan">
      <formula>-0.05</formula>
    </cfRule>
  </conditionalFormatting>
  <conditionalFormatting sqref="G128">
    <cfRule type="containsText" dxfId="583" priority="550" operator="containsText" text="NA">
      <formula>NOT(ISERROR(SEARCH("NA",G128)))</formula>
    </cfRule>
    <cfRule type="cellIs" dxfId="582" priority="552" operator="greaterThan">
      <formula>0.05</formula>
    </cfRule>
  </conditionalFormatting>
  <conditionalFormatting sqref="G128">
    <cfRule type="cellIs" dxfId="581" priority="549" operator="between">
      <formula>-0.05</formula>
      <formula>0.05</formula>
    </cfRule>
    <cfRule type="cellIs" dxfId="580" priority="551" operator="lessThan">
      <formula>-0.05</formula>
    </cfRule>
  </conditionalFormatting>
  <conditionalFormatting sqref="H128:L128">
    <cfRule type="containsText" dxfId="579" priority="546" operator="containsText" text="NA">
      <formula>NOT(ISERROR(SEARCH("NA",H128)))</formula>
    </cfRule>
    <cfRule type="cellIs" dxfId="578" priority="548" operator="greaterThan">
      <formula>0.05</formula>
    </cfRule>
  </conditionalFormatting>
  <conditionalFormatting sqref="H128:L128">
    <cfRule type="cellIs" dxfId="577" priority="545" operator="between">
      <formula>-0.05</formula>
      <formula>0.05</formula>
    </cfRule>
    <cfRule type="cellIs" dxfId="576" priority="547" operator="lessThan">
      <formula>-0.05</formula>
    </cfRule>
  </conditionalFormatting>
  <conditionalFormatting sqref="G129:L129">
    <cfRule type="containsText" dxfId="575" priority="542" operator="containsText" text="NA">
      <formula>NOT(ISERROR(SEARCH("NA",G129)))</formula>
    </cfRule>
    <cfRule type="cellIs" dxfId="574" priority="544" operator="greaterThan">
      <formula>0.05</formula>
    </cfRule>
  </conditionalFormatting>
  <conditionalFormatting sqref="G129:L129">
    <cfRule type="cellIs" dxfId="573" priority="541" operator="between">
      <formula>-0.05</formula>
      <formula>0.05</formula>
    </cfRule>
    <cfRule type="cellIs" dxfId="572" priority="543" operator="lessThan">
      <formula>-0.05</formula>
    </cfRule>
  </conditionalFormatting>
  <conditionalFormatting sqref="G130">
    <cfRule type="containsText" dxfId="571" priority="538" operator="containsText" text="NA">
      <formula>NOT(ISERROR(SEARCH("NA",G130)))</formula>
    </cfRule>
    <cfRule type="cellIs" dxfId="570" priority="540" operator="greaterThan">
      <formula>0.05</formula>
    </cfRule>
  </conditionalFormatting>
  <conditionalFormatting sqref="G130">
    <cfRule type="cellIs" dxfId="569" priority="537" operator="between">
      <formula>-0.05</formula>
      <formula>0.05</formula>
    </cfRule>
    <cfRule type="cellIs" dxfId="568" priority="539" operator="lessThan">
      <formula>-0.05</formula>
    </cfRule>
  </conditionalFormatting>
  <conditionalFormatting sqref="H130:L130">
    <cfRule type="containsText" dxfId="567" priority="534" operator="containsText" text="NA">
      <formula>NOT(ISERROR(SEARCH("NA",H130)))</formula>
    </cfRule>
    <cfRule type="cellIs" dxfId="566" priority="536" operator="greaterThan">
      <formula>0.05</formula>
    </cfRule>
  </conditionalFormatting>
  <conditionalFormatting sqref="H130:L130">
    <cfRule type="cellIs" dxfId="565" priority="533" operator="between">
      <formula>-0.05</formula>
      <formula>0.05</formula>
    </cfRule>
    <cfRule type="cellIs" dxfId="564" priority="535" operator="lessThan">
      <formula>-0.05</formula>
    </cfRule>
  </conditionalFormatting>
  <conditionalFormatting sqref="G131:L131">
    <cfRule type="containsText" dxfId="563" priority="530" operator="containsText" text="NA">
      <formula>NOT(ISERROR(SEARCH("NA",G131)))</formula>
    </cfRule>
    <cfRule type="cellIs" dxfId="562" priority="532" operator="greaterThan">
      <formula>0.05</formula>
    </cfRule>
  </conditionalFormatting>
  <conditionalFormatting sqref="G131:L131">
    <cfRule type="cellIs" dxfId="561" priority="529" operator="between">
      <formula>-0.05</formula>
      <formula>0.05</formula>
    </cfRule>
    <cfRule type="cellIs" dxfId="560" priority="531" operator="lessThan">
      <formula>-0.05</formula>
    </cfRule>
  </conditionalFormatting>
  <conditionalFormatting sqref="G132">
    <cfRule type="containsText" dxfId="559" priority="526" operator="containsText" text="NA">
      <formula>NOT(ISERROR(SEARCH("NA",G132)))</formula>
    </cfRule>
    <cfRule type="cellIs" dxfId="558" priority="528" operator="greaterThan">
      <formula>0.05</formula>
    </cfRule>
  </conditionalFormatting>
  <conditionalFormatting sqref="G132">
    <cfRule type="cellIs" dxfId="557" priority="525" operator="between">
      <formula>-0.05</formula>
      <formula>0.05</formula>
    </cfRule>
    <cfRule type="cellIs" dxfId="556" priority="527" operator="lessThan">
      <formula>-0.05</formula>
    </cfRule>
  </conditionalFormatting>
  <conditionalFormatting sqref="H132:L132">
    <cfRule type="containsText" dxfId="555" priority="522" operator="containsText" text="NA">
      <formula>NOT(ISERROR(SEARCH("NA",H132)))</formula>
    </cfRule>
    <cfRule type="cellIs" dxfId="554" priority="524" operator="greaterThan">
      <formula>0.05</formula>
    </cfRule>
  </conditionalFormatting>
  <conditionalFormatting sqref="H132:L132">
    <cfRule type="cellIs" dxfId="553" priority="521" operator="between">
      <formula>-0.05</formula>
      <formula>0.05</formula>
    </cfRule>
    <cfRule type="cellIs" dxfId="552" priority="523" operator="lessThan">
      <formula>-0.05</formula>
    </cfRule>
  </conditionalFormatting>
  <conditionalFormatting sqref="G133:L133">
    <cfRule type="containsText" dxfId="551" priority="518" operator="containsText" text="NA">
      <formula>NOT(ISERROR(SEARCH("NA",G133)))</formula>
    </cfRule>
    <cfRule type="cellIs" dxfId="550" priority="520" operator="greaterThan">
      <formula>0.05</formula>
    </cfRule>
  </conditionalFormatting>
  <conditionalFormatting sqref="G133:L133">
    <cfRule type="cellIs" dxfId="549" priority="517" operator="between">
      <formula>-0.05</formula>
      <formula>0.05</formula>
    </cfRule>
    <cfRule type="cellIs" dxfId="548" priority="519" operator="lessThan">
      <formula>-0.05</formula>
    </cfRule>
  </conditionalFormatting>
  <conditionalFormatting sqref="G134">
    <cfRule type="containsText" dxfId="547" priority="514" operator="containsText" text="NA">
      <formula>NOT(ISERROR(SEARCH("NA",G134)))</formula>
    </cfRule>
    <cfRule type="cellIs" dxfId="546" priority="516" operator="greaterThan">
      <formula>0.05</formula>
    </cfRule>
  </conditionalFormatting>
  <conditionalFormatting sqref="G134">
    <cfRule type="cellIs" dxfId="545" priority="513" operator="between">
      <formula>-0.05</formula>
      <formula>0.05</formula>
    </cfRule>
    <cfRule type="cellIs" dxfId="544" priority="515" operator="lessThan">
      <formula>-0.05</formula>
    </cfRule>
  </conditionalFormatting>
  <conditionalFormatting sqref="H134:L134">
    <cfRule type="containsText" dxfId="543" priority="510" operator="containsText" text="NA">
      <formula>NOT(ISERROR(SEARCH("NA",H134)))</formula>
    </cfRule>
    <cfRule type="cellIs" dxfId="542" priority="512" operator="greaterThan">
      <formula>0.05</formula>
    </cfRule>
  </conditionalFormatting>
  <conditionalFormatting sqref="H134:L134">
    <cfRule type="cellIs" dxfId="541" priority="509" operator="between">
      <formula>-0.05</formula>
      <formula>0.05</formula>
    </cfRule>
    <cfRule type="cellIs" dxfId="540" priority="511" operator="lessThan">
      <formula>-0.05</formula>
    </cfRule>
  </conditionalFormatting>
  <conditionalFormatting sqref="G135:L135">
    <cfRule type="containsText" dxfId="539" priority="506" operator="containsText" text="NA">
      <formula>NOT(ISERROR(SEARCH("NA",G135)))</formula>
    </cfRule>
    <cfRule type="cellIs" dxfId="538" priority="508" operator="greaterThan">
      <formula>0.05</formula>
    </cfRule>
  </conditionalFormatting>
  <conditionalFormatting sqref="G135:L135">
    <cfRule type="cellIs" dxfId="537" priority="505" operator="between">
      <formula>-0.05</formula>
      <formula>0.05</formula>
    </cfRule>
    <cfRule type="cellIs" dxfId="536" priority="507" operator="lessThan">
      <formula>-0.05</formula>
    </cfRule>
  </conditionalFormatting>
  <conditionalFormatting sqref="G136">
    <cfRule type="containsText" dxfId="535" priority="502" operator="containsText" text="NA">
      <formula>NOT(ISERROR(SEARCH("NA",G136)))</formula>
    </cfRule>
    <cfRule type="cellIs" dxfId="534" priority="504" operator="greaterThan">
      <formula>0.05</formula>
    </cfRule>
  </conditionalFormatting>
  <conditionalFormatting sqref="G136">
    <cfRule type="cellIs" dxfId="533" priority="501" operator="between">
      <formula>-0.05</formula>
      <formula>0.05</formula>
    </cfRule>
    <cfRule type="cellIs" dxfId="532" priority="503" operator="lessThan">
      <formula>-0.05</formula>
    </cfRule>
  </conditionalFormatting>
  <conditionalFormatting sqref="H136:L136">
    <cfRule type="containsText" dxfId="531" priority="498" operator="containsText" text="NA">
      <formula>NOT(ISERROR(SEARCH("NA",H136)))</formula>
    </cfRule>
    <cfRule type="cellIs" dxfId="530" priority="500" operator="greaterThan">
      <formula>0.05</formula>
    </cfRule>
  </conditionalFormatting>
  <conditionalFormatting sqref="H136:L136">
    <cfRule type="cellIs" dxfId="529" priority="497" operator="between">
      <formula>-0.05</formula>
      <formula>0.05</formula>
    </cfRule>
    <cfRule type="cellIs" dxfId="528" priority="499" operator="lessThan">
      <formula>-0.05</formula>
    </cfRule>
  </conditionalFormatting>
  <conditionalFormatting sqref="G137:L137">
    <cfRule type="containsText" dxfId="527" priority="494" operator="containsText" text="NA">
      <formula>NOT(ISERROR(SEARCH("NA",G137)))</formula>
    </cfRule>
    <cfRule type="cellIs" dxfId="526" priority="496" operator="greaterThan">
      <formula>0.05</formula>
    </cfRule>
  </conditionalFormatting>
  <conditionalFormatting sqref="G137:L137">
    <cfRule type="cellIs" dxfId="525" priority="493" operator="between">
      <formula>-0.05</formula>
      <formula>0.05</formula>
    </cfRule>
    <cfRule type="cellIs" dxfId="524" priority="495" operator="lessThan">
      <formula>-0.05</formula>
    </cfRule>
  </conditionalFormatting>
  <conditionalFormatting sqref="G138">
    <cfRule type="containsText" dxfId="523" priority="490" operator="containsText" text="NA">
      <formula>NOT(ISERROR(SEARCH("NA",G138)))</formula>
    </cfRule>
    <cfRule type="cellIs" dxfId="522" priority="492" operator="greaterThan">
      <formula>0.05</formula>
    </cfRule>
  </conditionalFormatting>
  <conditionalFormatting sqref="G138">
    <cfRule type="cellIs" dxfId="521" priority="489" operator="between">
      <formula>-0.05</formula>
      <formula>0.05</formula>
    </cfRule>
    <cfRule type="cellIs" dxfId="520" priority="491" operator="lessThan">
      <formula>-0.05</formula>
    </cfRule>
  </conditionalFormatting>
  <conditionalFormatting sqref="H138:L138">
    <cfRule type="containsText" dxfId="519" priority="486" operator="containsText" text="NA">
      <formula>NOT(ISERROR(SEARCH("NA",H138)))</formula>
    </cfRule>
    <cfRule type="cellIs" dxfId="518" priority="488" operator="greaterThan">
      <formula>0.05</formula>
    </cfRule>
  </conditionalFormatting>
  <conditionalFormatting sqref="H138:L138">
    <cfRule type="cellIs" dxfId="517" priority="485" operator="between">
      <formula>-0.05</formula>
      <formula>0.05</formula>
    </cfRule>
    <cfRule type="cellIs" dxfId="516" priority="487" operator="lessThan">
      <formula>-0.05</formula>
    </cfRule>
  </conditionalFormatting>
  <conditionalFormatting sqref="G139:L139">
    <cfRule type="containsText" dxfId="515" priority="482" operator="containsText" text="NA">
      <formula>NOT(ISERROR(SEARCH("NA",G139)))</formula>
    </cfRule>
    <cfRule type="cellIs" dxfId="514" priority="484" operator="greaterThan">
      <formula>0.05</formula>
    </cfRule>
  </conditionalFormatting>
  <conditionalFormatting sqref="G139:L139">
    <cfRule type="cellIs" dxfId="513" priority="481" operator="between">
      <formula>-0.05</formula>
      <formula>0.05</formula>
    </cfRule>
    <cfRule type="cellIs" dxfId="512" priority="483" operator="lessThan">
      <formula>-0.05</formula>
    </cfRule>
  </conditionalFormatting>
  <conditionalFormatting sqref="G140">
    <cfRule type="containsText" dxfId="511" priority="478" operator="containsText" text="NA">
      <formula>NOT(ISERROR(SEARCH("NA",G140)))</formula>
    </cfRule>
    <cfRule type="cellIs" dxfId="510" priority="480" operator="greaterThan">
      <formula>0.05</formula>
    </cfRule>
  </conditionalFormatting>
  <conditionalFormatting sqref="G140">
    <cfRule type="cellIs" dxfId="509" priority="477" operator="between">
      <formula>-0.05</formula>
      <formula>0.05</formula>
    </cfRule>
    <cfRule type="cellIs" dxfId="508" priority="479" operator="lessThan">
      <formula>-0.05</formula>
    </cfRule>
  </conditionalFormatting>
  <conditionalFormatting sqref="H140:L140">
    <cfRule type="containsText" dxfId="507" priority="474" operator="containsText" text="NA">
      <formula>NOT(ISERROR(SEARCH("NA",H140)))</formula>
    </cfRule>
    <cfRule type="cellIs" dxfId="506" priority="476" operator="greaterThan">
      <formula>0.05</formula>
    </cfRule>
  </conditionalFormatting>
  <conditionalFormatting sqref="H140:L140">
    <cfRule type="cellIs" dxfId="505" priority="473" operator="between">
      <formula>-0.05</formula>
      <formula>0.05</formula>
    </cfRule>
    <cfRule type="cellIs" dxfId="504" priority="475" operator="lessThan">
      <formula>-0.05</formula>
    </cfRule>
  </conditionalFormatting>
  <conditionalFormatting sqref="G141:L141">
    <cfRule type="containsText" dxfId="503" priority="470" operator="containsText" text="NA">
      <formula>NOT(ISERROR(SEARCH("NA",G141)))</formula>
    </cfRule>
    <cfRule type="cellIs" dxfId="502" priority="472" operator="greaterThan">
      <formula>0.05</formula>
    </cfRule>
  </conditionalFormatting>
  <conditionalFormatting sqref="G141:L141">
    <cfRule type="cellIs" dxfId="501" priority="469" operator="between">
      <formula>-0.05</formula>
      <formula>0.05</formula>
    </cfRule>
    <cfRule type="cellIs" dxfId="500" priority="471" operator="lessThan">
      <formula>-0.05</formula>
    </cfRule>
  </conditionalFormatting>
  <conditionalFormatting sqref="G142">
    <cfRule type="containsText" dxfId="499" priority="466" operator="containsText" text="NA">
      <formula>NOT(ISERROR(SEARCH("NA",G142)))</formula>
    </cfRule>
    <cfRule type="cellIs" dxfId="498" priority="468" operator="greaterThan">
      <formula>0.05</formula>
    </cfRule>
  </conditionalFormatting>
  <conditionalFormatting sqref="G142">
    <cfRule type="cellIs" dxfId="497" priority="465" operator="between">
      <formula>-0.05</formula>
      <formula>0.05</formula>
    </cfRule>
    <cfRule type="cellIs" dxfId="496" priority="467" operator="lessThan">
      <formula>-0.05</formula>
    </cfRule>
  </conditionalFormatting>
  <conditionalFormatting sqref="H142:L142">
    <cfRule type="containsText" dxfId="495" priority="462" operator="containsText" text="NA">
      <formula>NOT(ISERROR(SEARCH("NA",H142)))</formula>
    </cfRule>
    <cfRule type="cellIs" dxfId="494" priority="464" operator="greaterThan">
      <formula>0.05</formula>
    </cfRule>
  </conditionalFormatting>
  <conditionalFormatting sqref="H142:L142">
    <cfRule type="cellIs" dxfId="493" priority="461" operator="between">
      <formula>-0.05</formula>
      <formula>0.05</formula>
    </cfRule>
    <cfRule type="cellIs" dxfId="492" priority="463" operator="lessThan">
      <formula>-0.05</formula>
    </cfRule>
  </conditionalFormatting>
  <conditionalFormatting sqref="G143:L143">
    <cfRule type="containsText" dxfId="491" priority="458" operator="containsText" text="NA">
      <formula>NOT(ISERROR(SEARCH("NA",G143)))</formula>
    </cfRule>
    <cfRule type="cellIs" dxfId="490" priority="460" operator="greaterThan">
      <formula>0.05</formula>
    </cfRule>
  </conditionalFormatting>
  <conditionalFormatting sqref="G143:L143">
    <cfRule type="cellIs" dxfId="489" priority="457" operator="between">
      <formula>-0.05</formula>
      <formula>0.05</formula>
    </cfRule>
    <cfRule type="cellIs" dxfId="488" priority="459" operator="lessThan">
      <formula>-0.05</formula>
    </cfRule>
  </conditionalFormatting>
  <conditionalFormatting sqref="G144">
    <cfRule type="containsText" dxfId="487" priority="454" operator="containsText" text="NA">
      <formula>NOT(ISERROR(SEARCH("NA",G144)))</formula>
    </cfRule>
    <cfRule type="cellIs" dxfId="486" priority="456" operator="greaterThan">
      <formula>0.05</formula>
    </cfRule>
  </conditionalFormatting>
  <conditionalFormatting sqref="G144">
    <cfRule type="cellIs" dxfId="485" priority="453" operator="between">
      <formula>-0.05</formula>
      <formula>0.05</formula>
    </cfRule>
    <cfRule type="cellIs" dxfId="484" priority="455" operator="lessThan">
      <formula>-0.05</formula>
    </cfRule>
  </conditionalFormatting>
  <conditionalFormatting sqref="H144:L144">
    <cfRule type="containsText" dxfId="483" priority="450" operator="containsText" text="NA">
      <formula>NOT(ISERROR(SEARCH("NA",H144)))</formula>
    </cfRule>
    <cfRule type="cellIs" dxfId="482" priority="452" operator="greaterThan">
      <formula>0.05</formula>
    </cfRule>
  </conditionalFormatting>
  <conditionalFormatting sqref="H144:L144">
    <cfRule type="cellIs" dxfId="481" priority="449" operator="between">
      <formula>-0.05</formula>
      <formula>0.05</formula>
    </cfRule>
    <cfRule type="cellIs" dxfId="480" priority="451" operator="lessThan">
      <formula>-0.05</formula>
    </cfRule>
  </conditionalFormatting>
  <conditionalFormatting sqref="G145:L145">
    <cfRule type="containsText" dxfId="479" priority="446" operator="containsText" text="NA">
      <formula>NOT(ISERROR(SEARCH("NA",G145)))</formula>
    </cfRule>
    <cfRule type="cellIs" dxfId="478" priority="448" operator="greaterThan">
      <formula>0.05</formula>
    </cfRule>
  </conditionalFormatting>
  <conditionalFormatting sqref="G145:L145">
    <cfRule type="cellIs" dxfId="477" priority="445" operator="between">
      <formula>-0.05</formula>
      <formula>0.05</formula>
    </cfRule>
    <cfRule type="cellIs" dxfId="476" priority="447" operator="lessThan">
      <formula>-0.05</formula>
    </cfRule>
  </conditionalFormatting>
  <conditionalFormatting sqref="G146">
    <cfRule type="containsText" dxfId="475" priority="442" operator="containsText" text="NA">
      <formula>NOT(ISERROR(SEARCH("NA",G146)))</formula>
    </cfRule>
    <cfRule type="cellIs" dxfId="474" priority="444" operator="greaterThan">
      <formula>0.05</formula>
    </cfRule>
  </conditionalFormatting>
  <conditionalFormatting sqref="G146">
    <cfRule type="cellIs" dxfId="473" priority="441" operator="between">
      <formula>-0.05</formula>
      <formula>0.05</formula>
    </cfRule>
    <cfRule type="cellIs" dxfId="472" priority="443" operator="lessThan">
      <formula>-0.05</formula>
    </cfRule>
  </conditionalFormatting>
  <conditionalFormatting sqref="H146:L146">
    <cfRule type="containsText" dxfId="471" priority="438" operator="containsText" text="NA">
      <formula>NOT(ISERROR(SEARCH("NA",H146)))</formula>
    </cfRule>
    <cfRule type="cellIs" dxfId="470" priority="440" operator="greaterThan">
      <formula>0.05</formula>
    </cfRule>
  </conditionalFormatting>
  <conditionalFormatting sqref="H146:L146">
    <cfRule type="cellIs" dxfId="469" priority="437" operator="between">
      <formula>-0.05</formula>
      <formula>0.05</formula>
    </cfRule>
    <cfRule type="cellIs" dxfId="468" priority="439" operator="lessThan">
      <formula>-0.05</formula>
    </cfRule>
  </conditionalFormatting>
  <conditionalFormatting sqref="G147:L147">
    <cfRule type="containsText" dxfId="467" priority="434" operator="containsText" text="NA">
      <formula>NOT(ISERROR(SEARCH("NA",G147)))</formula>
    </cfRule>
    <cfRule type="cellIs" dxfId="466" priority="436" operator="greaterThan">
      <formula>0.05</formula>
    </cfRule>
  </conditionalFormatting>
  <conditionalFormatting sqref="G147:L147">
    <cfRule type="cellIs" dxfId="465" priority="433" operator="between">
      <formula>-0.05</formula>
      <formula>0.05</formula>
    </cfRule>
    <cfRule type="cellIs" dxfId="464" priority="435" operator="lessThan">
      <formula>-0.05</formula>
    </cfRule>
  </conditionalFormatting>
  <conditionalFormatting sqref="G148">
    <cfRule type="containsText" dxfId="463" priority="430" operator="containsText" text="NA">
      <formula>NOT(ISERROR(SEARCH("NA",G148)))</formula>
    </cfRule>
    <cfRule type="cellIs" dxfId="462" priority="432" operator="greaterThan">
      <formula>0.05</formula>
    </cfRule>
  </conditionalFormatting>
  <conditionalFormatting sqref="G148">
    <cfRule type="cellIs" dxfId="461" priority="429" operator="between">
      <formula>-0.05</formula>
      <formula>0.05</formula>
    </cfRule>
    <cfRule type="cellIs" dxfId="460" priority="431" operator="lessThan">
      <formula>-0.05</formula>
    </cfRule>
  </conditionalFormatting>
  <conditionalFormatting sqref="H148:L148">
    <cfRule type="containsText" dxfId="459" priority="426" operator="containsText" text="NA">
      <formula>NOT(ISERROR(SEARCH("NA",H148)))</formula>
    </cfRule>
    <cfRule type="cellIs" dxfId="458" priority="428" operator="greaterThan">
      <formula>0.05</formula>
    </cfRule>
  </conditionalFormatting>
  <conditionalFormatting sqref="H148:L148">
    <cfRule type="cellIs" dxfId="457" priority="425" operator="between">
      <formula>-0.05</formula>
      <formula>0.05</formula>
    </cfRule>
    <cfRule type="cellIs" dxfId="456" priority="427" operator="lessThan">
      <formula>-0.05</formula>
    </cfRule>
  </conditionalFormatting>
  <conditionalFormatting sqref="G149:L149">
    <cfRule type="containsText" dxfId="455" priority="422" operator="containsText" text="NA">
      <formula>NOT(ISERROR(SEARCH("NA",G149)))</formula>
    </cfRule>
    <cfRule type="cellIs" dxfId="454" priority="424" operator="greaterThan">
      <formula>0.05</formula>
    </cfRule>
  </conditionalFormatting>
  <conditionalFormatting sqref="G149:L149">
    <cfRule type="cellIs" dxfId="453" priority="421" operator="between">
      <formula>-0.05</formula>
      <formula>0.05</formula>
    </cfRule>
    <cfRule type="cellIs" dxfId="452" priority="423" operator="lessThan">
      <formula>-0.05</formula>
    </cfRule>
  </conditionalFormatting>
  <conditionalFormatting sqref="G150">
    <cfRule type="containsText" dxfId="451" priority="418" operator="containsText" text="NA">
      <formula>NOT(ISERROR(SEARCH("NA",G150)))</formula>
    </cfRule>
    <cfRule type="cellIs" dxfId="450" priority="420" operator="greaterThan">
      <formula>0.05</formula>
    </cfRule>
  </conditionalFormatting>
  <conditionalFormatting sqref="G150">
    <cfRule type="cellIs" dxfId="449" priority="417" operator="between">
      <formula>-0.05</formula>
      <formula>0.05</formula>
    </cfRule>
    <cfRule type="cellIs" dxfId="448" priority="419" operator="lessThan">
      <formula>-0.05</formula>
    </cfRule>
  </conditionalFormatting>
  <conditionalFormatting sqref="H150:L150">
    <cfRule type="containsText" dxfId="447" priority="414" operator="containsText" text="NA">
      <formula>NOT(ISERROR(SEARCH("NA",H150)))</formula>
    </cfRule>
    <cfRule type="cellIs" dxfId="446" priority="416" operator="greaterThan">
      <formula>0.05</formula>
    </cfRule>
  </conditionalFormatting>
  <conditionalFormatting sqref="H150:L150">
    <cfRule type="cellIs" dxfId="445" priority="413" operator="between">
      <formula>-0.05</formula>
      <formula>0.05</formula>
    </cfRule>
    <cfRule type="cellIs" dxfId="444" priority="415" operator="lessThan">
      <formula>-0.05</formula>
    </cfRule>
  </conditionalFormatting>
  <conditionalFormatting sqref="G151:L151">
    <cfRule type="containsText" dxfId="443" priority="410" operator="containsText" text="NA">
      <formula>NOT(ISERROR(SEARCH("NA",G151)))</formula>
    </cfRule>
    <cfRule type="cellIs" dxfId="442" priority="412" operator="greaterThan">
      <formula>0.05</formula>
    </cfRule>
  </conditionalFormatting>
  <conditionalFormatting sqref="G151:L151">
    <cfRule type="cellIs" dxfId="441" priority="409" operator="between">
      <formula>-0.05</formula>
      <formula>0.05</formula>
    </cfRule>
    <cfRule type="cellIs" dxfId="440" priority="411" operator="lessThan">
      <formula>-0.05</formula>
    </cfRule>
  </conditionalFormatting>
  <conditionalFormatting sqref="G152">
    <cfRule type="containsText" dxfId="439" priority="406" operator="containsText" text="NA">
      <formula>NOT(ISERROR(SEARCH("NA",G152)))</formula>
    </cfRule>
    <cfRule type="cellIs" dxfId="438" priority="408" operator="greaterThan">
      <formula>0.05</formula>
    </cfRule>
  </conditionalFormatting>
  <conditionalFormatting sqref="G152">
    <cfRule type="cellIs" dxfId="437" priority="405" operator="between">
      <formula>-0.05</formula>
      <formula>0.05</formula>
    </cfRule>
    <cfRule type="cellIs" dxfId="436" priority="407" operator="lessThan">
      <formula>-0.05</formula>
    </cfRule>
  </conditionalFormatting>
  <conditionalFormatting sqref="H152:L152">
    <cfRule type="containsText" dxfId="435" priority="402" operator="containsText" text="NA">
      <formula>NOT(ISERROR(SEARCH("NA",H152)))</formula>
    </cfRule>
    <cfRule type="cellIs" dxfId="434" priority="404" operator="greaterThan">
      <formula>0.05</formula>
    </cfRule>
  </conditionalFormatting>
  <conditionalFormatting sqref="H152:L152">
    <cfRule type="cellIs" dxfId="433" priority="401" operator="between">
      <formula>-0.05</formula>
      <formula>0.05</formula>
    </cfRule>
    <cfRule type="cellIs" dxfId="432" priority="403" operator="lessThan">
      <formula>-0.05</formula>
    </cfRule>
  </conditionalFormatting>
  <conditionalFormatting sqref="G153:L153">
    <cfRule type="containsText" dxfId="431" priority="398" operator="containsText" text="NA">
      <formula>NOT(ISERROR(SEARCH("NA",G153)))</formula>
    </cfRule>
    <cfRule type="cellIs" dxfId="430" priority="400" operator="greaterThan">
      <formula>0.05</formula>
    </cfRule>
  </conditionalFormatting>
  <conditionalFormatting sqref="G153:L153">
    <cfRule type="cellIs" dxfId="429" priority="397" operator="between">
      <formula>-0.05</formula>
      <formula>0.05</formula>
    </cfRule>
    <cfRule type="cellIs" dxfId="428" priority="399" operator="lessThan">
      <formula>-0.05</formula>
    </cfRule>
  </conditionalFormatting>
  <conditionalFormatting sqref="G154">
    <cfRule type="containsText" dxfId="427" priority="394" operator="containsText" text="NA">
      <formula>NOT(ISERROR(SEARCH("NA",G154)))</formula>
    </cfRule>
    <cfRule type="cellIs" dxfId="426" priority="396" operator="greaterThan">
      <formula>0.05</formula>
    </cfRule>
  </conditionalFormatting>
  <conditionalFormatting sqref="G154">
    <cfRule type="cellIs" dxfId="425" priority="393" operator="between">
      <formula>-0.05</formula>
      <formula>0.05</formula>
    </cfRule>
    <cfRule type="cellIs" dxfId="424" priority="395" operator="lessThan">
      <formula>-0.05</formula>
    </cfRule>
  </conditionalFormatting>
  <conditionalFormatting sqref="H154:L154">
    <cfRule type="containsText" dxfId="423" priority="390" operator="containsText" text="NA">
      <formula>NOT(ISERROR(SEARCH("NA",H154)))</formula>
    </cfRule>
    <cfRule type="cellIs" dxfId="422" priority="392" operator="greaterThan">
      <formula>0.05</formula>
    </cfRule>
  </conditionalFormatting>
  <conditionalFormatting sqref="H154:L154">
    <cfRule type="cellIs" dxfId="421" priority="389" operator="between">
      <formula>-0.05</formula>
      <formula>0.05</formula>
    </cfRule>
    <cfRule type="cellIs" dxfId="420" priority="391" operator="lessThan">
      <formula>-0.05</formula>
    </cfRule>
  </conditionalFormatting>
  <conditionalFormatting sqref="G155:L155">
    <cfRule type="containsText" dxfId="419" priority="386" operator="containsText" text="NA">
      <formula>NOT(ISERROR(SEARCH("NA",G155)))</formula>
    </cfRule>
    <cfRule type="cellIs" dxfId="418" priority="388" operator="greaterThan">
      <formula>0.05</formula>
    </cfRule>
  </conditionalFormatting>
  <conditionalFormatting sqref="G155:L155">
    <cfRule type="cellIs" dxfId="417" priority="385" operator="between">
      <formula>-0.05</formula>
      <formula>0.05</formula>
    </cfRule>
    <cfRule type="cellIs" dxfId="416" priority="387" operator="lessThan">
      <formula>-0.05</formula>
    </cfRule>
  </conditionalFormatting>
  <conditionalFormatting sqref="G156">
    <cfRule type="containsText" dxfId="415" priority="382" operator="containsText" text="NA">
      <formula>NOT(ISERROR(SEARCH("NA",G156)))</formula>
    </cfRule>
    <cfRule type="cellIs" dxfId="414" priority="384" operator="greaterThan">
      <formula>0.05</formula>
    </cfRule>
  </conditionalFormatting>
  <conditionalFormatting sqref="G156">
    <cfRule type="cellIs" dxfId="413" priority="381" operator="between">
      <formula>-0.05</formula>
      <formula>0.05</formula>
    </cfRule>
    <cfRule type="cellIs" dxfId="412" priority="383" operator="lessThan">
      <formula>-0.05</formula>
    </cfRule>
  </conditionalFormatting>
  <conditionalFormatting sqref="H156:L156">
    <cfRule type="containsText" dxfId="411" priority="378" operator="containsText" text="NA">
      <formula>NOT(ISERROR(SEARCH("NA",H156)))</formula>
    </cfRule>
    <cfRule type="cellIs" dxfId="410" priority="380" operator="greaterThan">
      <formula>0.05</formula>
    </cfRule>
  </conditionalFormatting>
  <conditionalFormatting sqref="H156:L156">
    <cfRule type="cellIs" dxfId="409" priority="377" operator="between">
      <formula>-0.05</formula>
      <formula>0.05</formula>
    </cfRule>
    <cfRule type="cellIs" dxfId="408" priority="379" operator="lessThan">
      <formula>-0.05</formula>
    </cfRule>
  </conditionalFormatting>
  <conditionalFormatting sqref="G157:L157">
    <cfRule type="containsText" dxfId="407" priority="374" operator="containsText" text="NA">
      <formula>NOT(ISERROR(SEARCH("NA",G157)))</formula>
    </cfRule>
    <cfRule type="cellIs" dxfId="406" priority="376" operator="greaterThan">
      <formula>0.05</formula>
    </cfRule>
  </conditionalFormatting>
  <conditionalFormatting sqref="G157:L157">
    <cfRule type="cellIs" dxfId="405" priority="373" operator="between">
      <formula>-0.05</formula>
      <formula>0.05</formula>
    </cfRule>
    <cfRule type="cellIs" dxfId="404" priority="375" operator="lessThan">
      <formula>-0.05</formula>
    </cfRule>
  </conditionalFormatting>
  <conditionalFormatting sqref="G158">
    <cfRule type="containsText" dxfId="403" priority="370" operator="containsText" text="NA">
      <formula>NOT(ISERROR(SEARCH("NA",G158)))</formula>
    </cfRule>
    <cfRule type="cellIs" dxfId="402" priority="372" operator="greaterThan">
      <formula>0.05</formula>
    </cfRule>
  </conditionalFormatting>
  <conditionalFormatting sqref="G158">
    <cfRule type="cellIs" dxfId="401" priority="369" operator="between">
      <formula>-0.05</formula>
      <formula>0.05</formula>
    </cfRule>
    <cfRule type="cellIs" dxfId="400" priority="371" operator="lessThan">
      <formula>-0.05</formula>
    </cfRule>
  </conditionalFormatting>
  <conditionalFormatting sqref="H158:L158">
    <cfRule type="containsText" dxfId="399" priority="366" operator="containsText" text="NA">
      <formula>NOT(ISERROR(SEARCH("NA",H158)))</formula>
    </cfRule>
    <cfRule type="cellIs" dxfId="398" priority="368" operator="greaterThan">
      <formula>0.05</formula>
    </cfRule>
  </conditionalFormatting>
  <conditionalFormatting sqref="H158:L158">
    <cfRule type="cellIs" dxfId="397" priority="365" operator="between">
      <formula>-0.05</formula>
      <formula>0.05</formula>
    </cfRule>
    <cfRule type="cellIs" dxfId="396" priority="367" operator="lessThan">
      <formula>-0.05</formula>
    </cfRule>
  </conditionalFormatting>
  <conditionalFormatting sqref="G159:L159">
    <cfRule type="containsText" dxfId="395" priority="362" operator="containsText" text="NA">
      <formula>NOT(ISERROR(SEARCH("NA",G159)))</formula>
    </cfRule>
    <cfRule type="cellIs" dxfId="394" priority="364" operator="greaterThan">
      <formula>0.05</formula>
    </cfRule>
  </conditionalFormatting>
  <conditionalFormatting sqref="G159:L159">
    <cfRule type="cellIs" dxfId="393" priority="361" operator="between">
      <formula>-0.05</formula>
      <formula>0.05</formula>
    </cfRule>
    <cfRule type="cellIs" dxfId="392" priority="363" operator="lessThan">
      <formula>-0.05</formula>
    </cfRule>
  </conditionalFormatting>
  <conditionalFormatting sqref="G160">
    <cfRule type="containsText" dxfId="391" priority="358" operator="containsText" text="NA">
      <formula>NOT(ISERROR(SEARCH("NA",G160)))</formula>
    </cfRule>
    <cfRule type="cellIs" dxfId="390" priority="360" operator="greaterThan">
      <formula>0.05</formula>
    </cfRule>
  </conditionalFormatting>
  <conditionalFormatting sqref="G160">
    <cfRule type="cellIs" dxfId="389" priority="357" operator="between">
      <formula>-0.05</formula>
      <formula>0.05</formula>
    </cfRule>
    <cfRule type="cellIs" dxfId="388" priority="359" operator="lessThan">
      <formula>-0.05</formula>
    </cfRule>
  </conditionalFormatting>
  <conditionalFormatting sqref="H160:L160">
    <cfRule type="containsText" dxfId="387" priority="354" operator="containsText" text="NA">
      <formula>NOT(ISERROR(SEARCH("NA",H160)))</formula>
    </cfRule>
    <cfRule type="cellIs" dxfId="386" priority="356" operator="greaterThan">
      <formula>0.05</formula>
    </cfRule>
  </conditionalFormatting>
  <conditionalFormatting sqref="H160:L160">
    <cfRule type="cellIs" dxfId="385" priority="353" operator="between">
      <formula>-0.05</formula>
      <formula>0.05</formula>
    </cfRule>
    <cfRule type="cellIs" dxfId="384" priority="355" operator="lessThan">
      <formula>-0.05</formula>
    </cfRule>
  </conditionalFormatting>
  <conditionalFormatting sqref="G161:L161">
    <cfRule type="containsText" dxfId="383" priority="350" operator="containsText" text="NA">
      <formula>NOT(ISERROR(SEARCH("NA",G161)))</formula>
    </cfRule>
    <cfRule type="cellIs" dxfId="382" priority="352" operator="greaterThan">
      <formula>0.05</formula>
    </cfRule>
  </conditionalFormatting>
  <conditionalFormatting sqref="G161:L161">
    <cfRule type="cellIs" dxfId="381" priority="349" operator="between">
      <formula>-0.05</formula>
      <formula>0.05</formula>
    </cfRule>
    <cfRule type="cellIs" dxfId="380" priority="351" operator="lessThan">
      <formula>-0.05</formula>
    </cfRule>
  </conditionalFormatting>
  <conditionalFormatting sqref="G162">
    <cfRule type="containsText" dxfId="379" priority="346" operator="containsText" text="NA">
      <formula>NOT(ISERROR(SEARCH("NA",G162)))</formula>
    </cfRule>
    <cfRule type="cellIs" dxfId="378" priority="348" operator="greaterThan">
      <formula>0.05</formula>
    </cfRule>
  </conditionalFormatting>
  <conditionalFormatting sqref="G162">
    <cfRule type="cellIs" dxfId="377" priority="345" operator="between">
      <formula>-0.05</formula>
      <formula>0.05</formula>
    </cfRule>
    <cfRule type="cellIs" dxfId="376" priority="347" operator="lessThan">
      <formula>-0.05</formula>
    </cfRule>
  </conditionalFormatting>
  <conditionalFormatting sqref="H162:L162">
    <cfRule type="containsText" dxfId="375" priority="342" operator="containsText" text="NA">
      <formula>NOT(ISERROR(SEARCH("NA",H162)))</formula>
    </cfRule>
    <cfRule type="cellIs" dxfId="374" priority="344" operator="greaterThan">
      <formula>0.05</formula>
    </cfRule>
  </conditionalFormatting>
  <conditionalFormatting sqref="H162:L162">
    <cfRule type="cellIs" dxfId="373" priority="341" operator="between">
      <formula>-0.05</formula>
      <formula>0.05</formula>
    </cfRule>
    <cfRule type="cellIs" dxfId="372" priority="343" operator="lessThan">
      <formula>-0.05</formula>
    </cfRule>
  </conditionalFormatting>
  <conditionalFormatting sqref="G163:L163">
    <cfRule type="containsText" dxfId="371" priority="338" operator="containsText" text="NA">
      <formula>NOT(ISERROR(SEARCH("NA",G163)))</formula>
    </cfRule>
    <cfRule type="cellIs" dxfId="370" priority="340" operator="greaterThan">
      <formula>0.05</formula>
    </cfRule>
  </conditionalFormatting>
  <conditionalFormatting sqref="G163:L163">
    <cfRule type="cellIs" dxfId="369" priority="337" operator="between">
      <formula>-0.05</formula>
      <formula>0.05</formula>
    </cfRule>
    <cfRule type="cellIs" dxfId="368" priority="339" operator="lessThan">
      <formula>-0.05</formula>
    </cfRule>
  </conditionalFormatting>
  <conditionalFormatting sqref="G164">
    <cfRule type="containsText" dxfId="367" priority="334" operator="containsText" text="NA">
      <formula>NOT(ISERROR(SEARCH("NA",G164)))</formula>
    </cfRule>
    <cfRule type="cellIs" dxfId="366" priority="336" operator="greaterThan">
      <formula>0.05</formula>
    </cfRule>
  </conditionalFormatting>
  <conditionalFormatting sqref="G164">
    <cfRule type="cellIs" dxfId="365" priority="333" operator="between">
      <formula>-0.05</formula>
      <formula>0.05</formula>
    </cfRule>
    <cfRule type="cellIs" dxfId="364" priority="335" operator="lessThan">
      <formula>-0.05</formula>
    </cfRule>
  </conditionalFormatting>
  <conditionalFormatting sqref="H164:L164">
    <cfRule type="containsText" dxfId="363" priority="330" operator="containsText" text="NA">
      <formula>NOT(ISERROR(SEARCH("NA",H164)))</formula>
    </cfRule>
    <cfRule type="cellIs" dxfId="362" priority="332" operator="greaterThan">
      <formula>0.05</formula>
    </cfRule>
  </conditionalFormatting>
  <conditionalFormatting sqref="H164:L164">
    <cfRule type="cellIs" dxfId="361" priority="329" operator="between">
      <formula>-0.05</formula>
      <formula>0.05</formula>
    </cfRule>
    <cfRule type="cellIs" dxfId="360" priority="331" operator="lessThan">
      <formula>-0.05</formula>
    </cfRule>
  </conditionalFormatting>
  <conditionalFormatting sqref="G165:L165">
    <cfRule type="containsText" dxfId="359" priority="326" operator="containsText" text="NA">
      <formula>NOT(ISERROR(SEARCH("NA",G165)))</formula>
    </cfRule>
    <cfRule type="cellIs" dxfId="358" priority="328" operator="greaterThan">
      <formula>0.05</formula>
    </cfRule>
  </conditionalFormatting>
  <conditionalFormatting sqref="G165:L165">
    <cfRule type="cellIs" dxfId="357" priority="325" operator="between">
      <formula>-0.05</formula>
      <formula>0.05</formula>
    </cfRule>
    <cfRule type="cellIs" dxfId="356" priority="327" operator="lessThan">
      <formula>-0.05</formula>
    </cfRule>
  </conditionalFormatting>
  <conditionalFormatting sqref="G166">
    <cfRule type="containsText" dxfId="355" priority="322" operator="containsText" text="NA">
      <formula>NOT(ISERROR(SEARCH("NA",G166)))</formula>
    </cfRule>
    <cfRule type="cellIs" dxfId="354" priority="324" operator="greaterThan">
      <formula>0.05</formula>
    </cfRule>
  </conditionalFormatting>
  <conditionalFormatting sqref="G166">
    <cfRule type="cellIs" dxfId="353" priority="321" operator="between">
      <formula>-0.05</formula>
      <formula>0.05</formula>
    </cfRule>
    <cfRule type="cellIs" dxfId="352" priority="323" operator="lessThan">
      <formula>-0.05</formula>
    </cfRule>
  </conditionalFormatting>
  <conditionalFormatting sqref="H166:L166">
    <cfRule type="containsText" dxfId="351" priority="318" operator="containsText" text="NA">
      <formula>NOT(ISERROR(SEARCH("NA",H166)))</formula>
    </cfRule>
    <cfRule type="cellIs" dxfId="350" priority="320" operator="greaterThan">
      <formula>0.05</formula>
    </cfRule>
  </conditionalFormatting>
  <conditionalFormatting sqref="H166:L166">
    <cfRule type="cellIs" dxfId="349" priority="317" operator="between">
      <formula>-0.05</formula>
      <formula>0.05</formula>
    </cfRule>
    <cfRule type="cellIs" dxfId="348" priority="319" operator="lessThan">
      <formula>-0.05</formula>
    </cfRule>
  </conditionalFormatting>
  <conditionalFormatting sqref="G167:L167">
    <cfRule type="containsText" dxfId="347" priority="314" operator="containsText" text="NA">
      <formula>NOT(ISERROR(SEARCH("NA",G167)))</formula>
    </cfRule>
    <cfRule type="cellIs" dxfId="346" priority="316" operator="greaterThan">
      <formula>0.05</formula>
    </cfRule>
  </conditionalFormatting>
  <conditionalFormatting sqref="G167:L167">
    <cfRule type="cellIs" dxfId="345" priority="313" operator="between">
      <formula>-0.05</formula>
      <formula>0.05</formula>
    </cfRule>
    <cfRule type="cellIs" dxfId="344" priority="315" operator="lessThan">
      <formula>-0.05</formula>
    </cfRule>
  </conditionalFormatting>
  <conditionalFormatting sqref="G168">
    <cfRule type="containsText" dxfId="343" priority="310" operator="containsText" text="NA">
      <formula>NOT(ISERROR(SEARCH("NA",G168)))</formula>
    </cfRule>
    <cfRule type="cellIs" dxfId="342" priority="312" operator="greaterThan">
      <formula>0.05</formula>
    </cfRule>
  </conditionalFormatting>
  <conditionalFormatting sqref="G168">
    <cfRule type="cellIs" dxfId="341" priority="309" operator="between">
      <formula>-0.05</formula>
      <formula>0.05</formula>
    </cfRule>
    <cfRule type="cellIs" dxfId="340" priority="311" operator="lessThan">
      <formula>-0.05</formula>
    </cfRule>
  </conditionalFormatting>
  <conditionalFormatting sqref="H168:L168">
    <cfRule type="containsText" dxfId="339" priority="306" operator="containsText" text="NA">
      <formula>NOT(ISERROR(SEARCH("NA",H168)))</formula>
    </cfRule>
    <cfRule type="cellIs" dxfId="338" priority="308" operator="greaterThan">
      <formula>0.05</formula>
    </cfRule>
  </conditionalFormatting>
  <conditionalFormatting sqref="H168:L168">
    <cfRule type="cellIs" dxfId="337" priority="305" operator="between">
      <formula>-0.05</formula>
      <formula>0.05</formula>
    </cfRule>
    <cfRule type="cellIs" dxfId="336" priority="307" operator="lessThan">
      <formula>-0.05</formula>
    </cfRule>
  </conditionalFormatting>
  <conditionalFormatting sqref="G169:L169">
    <cfRule type="containsText" dxfId="335" priority="302" operator="containsText" text="NA">
      <formula>NOT(ISERROR(SEARCH("NA",G169)))</formula>
    </cfRule>
    <cfRule type="cellIs" dxfId="334" priority="304" operator="greaterThan">
      <formula>0.05</formula>
    </cfRule>
  </conditionalFormatting>
  <conditionalFormatting sqref="G169:L169">
    <cfRule type="cellIs" dxfId="333" priority="301" operator="between">
      <formula>-0.05</formula>
      <formula>0.05</formula>
    </cfRule>
    <cfRule type="cellIs" dxfId="332" priority="303" operator="lessThan">
      <formula>-0.05</formula>
    </cfRule>
  </conditionalFormatting>
  <conditionalFormatting sqref="G170">
    <cfRule type="containsText" dxfId="331" priority="298" operator="containsText" text="NA">
      <formula>NOT(ISERROR(SEARCH("NA",G170)))</formula>
    </cfRule>
    <cfRule type="cellIs" dxfId="330" priority="300" operator="greaterThan">
      <formula>0.05</formula>
    </cfRule>
  </conditionalFormatting>
  <conditionalFormatting sqref="G170">
    <cfRule type="cellIs" dxfId="329" priority="297" operator="between">
      <formula>-0.05</formula>
      <formula>0.05</formula>
    </cfRule>
    <cfRule type="cellIs" dxfId="328" priority="299" operator="lessThan">
      <formula>-0.05</formula>
    </cfRule>
  </conditionalFormatting>
  <conditionalFormatting sqref="H170:L170">
    <cfRule type="containsText" dxfId="327" priority="294" operator="containsText" text="NA">
      <formula>NOT(ISERROR(SEARCH("NA",H170)))</formula>
    </cfRule>
    <cfRule type="cellIs" dxfId="326" priority="296" operator="greaterThan">
      <formula>0.05</formula>
    </cfRule>
  </conditionalFormatting>
  <conditionalFormatting sqref="H170:L170">
    <cfRule type="cellIs" dxfId="325" priority="293" operator="between">
      <formula>-0.05</formula>
      <formula>0.05</formula>
    </cfRule>
    <cfRule type="cellIs" dxfId="324" priority="295" operator="lessThan">
      <formula>-0.05</formula>
    </cfRule>
  </conditionalFormatting>
  <conditionalFormatting sqref="G171:L171">
    <cfRule type="containsText" dxfId="323" priority="290" operator="containsText" text="NA">
      <formula>NOT(ISERROR(SEARCH("NA",G171)))</formula>
    </cfRule>
    <cfRule type="cellIs" dxfId="322" priority="292" operator="greaterThan">
      <formula>0.05</formula>
    </cfRule>
  </conditionalFormatting>
  <conditionalFormatting sqref="G171:L171">
    <cfRule type="cellIs" dxfId="321" priority="289" operator="between">
      <formula>-0.05</formula>
      <formula>0.05</formula>
    </cfRule>
    <cfRule type="cellIs" dxfId="320" priority="291" operator="lessThan">
      <formula>-0.05</formula>
    </cfRule>
  </conditionalFormatting>
  <conditionalFormatting sqref="G172">
    <cfRule type="containsText" dxfId="319" priority="286" operator="containsText" text="NA">
      <formula>NOT(ISERROR(SEARCH("NA",G172)))</formula>
    </cfRule>
    <cfRule type="cellIs" dxfId="318" priority="288" operator="greaterThan">
      <formula>0.05</formula>
    </cfRule>
  </conditionalFormatting>
  <conditionalFormatting sqref="G172">
    <cfRule type="cellIs" dxfId="317" priority="285" operator="between">
      <formula>-0.05</formula>
      <formula>0.05</formula>
    </cfRule>
    <cfRule type="cellIs" dxfId="316" priority="287" operator="lessThan">
      <formula>-0.05</formula>
    </cfRule>
  </conditionalFormatting>
  <conditionalFormatting sqref="H172:L172">
    <cfRule type="containsText" dxfId="315" priority="282" operator="containsText" text="NA">
      <formula>NOT(ISERROR(SEARCH("NA",H172)))</formula>
    </cfRule>
    <cfRule type="cellIs" dxfId="314" priority="284" operator="greaterThan">
      <formula>0.05</formula>
    </cfRule>
  </conditionalFormatting>
  <conditionalFormatting sqref="H172:L172">
    <cfRule type="cellIs" dxfId="313" priority="281" operator="between">
      <formula>-0.05</formula>
      <formula>0.05</formula>
    </cfRule>
    <cfRule type="cellIs" dxfId="312" priority="283" operator="lessThan">
      <formula>-0.05</formula>
    </cfRule>
  </conditionalFormatting>
  <conditionalFormatting sqref="G173:L173">
    <cfRule type="containsText" dxfId="311" priority="278" operator="containsText" text="NA">
      <formula>NOT(ISERROR(SEARCH("NA",G173)))</formula>
    </cfRule>
    <cfRule type="cellIs" dxfId="310" priority="280" operator="greaterThan">
      <formula>0.05</formula>
    </cfRule>
  </conditionalFormatting>
  <conditionalFormatting sqref="G173:L173">
    <cfRule type="cellIs" dxfId="309" priority="277" operator="between">
      <formula>-0.05</formula>
      <formula>0.05</formula>
    </cfRule>
    <cfRule type="cellIs" dxfId="308" priority="279" operator="lessThan">
      <formula>-0.05</formula>
    </cfRule>
  </conditionalFormatting>
  <conditionalFormatting sqref="G174">
    <cfRule type="containsText" dxfId="307" priority="274" operator="containsText" text="NA">
      <formula>NOT(ISERROR(SEARCH("NA",G174)))</formula>
    </cfRule>
    <cfRule type="cellIs" dxfId="306" priority="276" operator="greaterThan">
      <formula>0.05</formula>
    </cfRule>
  </conditionalFormatting>
  <conditionalFormatting sqref="G174">
    <cfRule type="cellIs" dxfId="305" priority="273" operator="between">
      <formula>-0.05</formula>
      <formula>0.05</formula>
    </cfRule>
    <cfRule type="cellIs" dxfId="304" priority="275" operator="lessThan">
      <formula>-0.05</formula>
    </cfRule>
  </conditionalFormatting>
  <conditionalFormatting sqref="H174:L174">
    <cfRule type="containsText" dxfId="303" priority="270" operator="containsText" text="NA">
      <formula>NOT(ISERROR(SEARCH("NA",H174)))</formula>
    </cfRule>
    <cfRule type="cellIs" dxfId="302" priority="272" operator="greaterThan">
      <formula>0.05</formula>
    </cfRule>
  </conditionalFormatting>
  <conditionalFormatting sqref="H174:L174">
    <cfRule type="cellIs" dxfId="301" priority="269" operator="between">
      <formula>-0.05</formula>
      <formula>0.05</formula>
    </cfRule>
    <cfRule type="cellIs" dxfId="300" priority="271" operator="lessThan">
      <formula>-0.05</formula>
    </cfRule>
  </conditionalFormatting>
  <conditionalFormatting sqref="G175:L175">
    <cfRule type="containsText" dxfId="299" priority="266" operator="containsText" text="NA">
      <formula>NOT(ISERROR(SEARCH("NA",G175)))</formula>
    </cfRule>
    <cfRule type="cellIs" dxfId="298" priority="268" operator="greaterThan">
      <formula>0.05</formula>
    </cfRule>
  </conditionalFormatting>
  <conditionalFormatting sqref="G175:L175">
    <cfRule type="cellIs" dxfId="297" priority="265" operator="between">
      <formula>-0.05</formula>
      <formula>0.05</formula>
    </cfRule>
    <cfRule type="cellIs" dxfId="296" priority="267" operator="lessThan">
      <formula>-0.05</formula>
    </cfRule>
  </conditionalFormatting>
  <conditionalFormatting sqref="G176">
    <cfRule type="containsText" dxfId="295" priority="262" operator="containsText" text="NA">
      <formula>NOT(ISERROR(SEARCH("NA",G176)))</formula>
    </cfRule>
    <cfRule type="cellIs" dxfId="294" priority="264" operator="greaterThan">
      <formula>0.05</formula>
    </cfRule>
  </conditionalFormatting>
  <conditionalFormatting sqref="G176">
    <cfRule type="cellIs" dxfId="293" priority="261" operator="between">
      <formula>-0.05</formula>
      <formula>0.05</formula>
    </cfRule>
    <cfRule type="cellIs" dxfId="292" priority="263" operator="lessThan">
      <formula>-0.05</formula>
    </cfRule>
  </conditionalFormatting>
  <conditionalFormatting sqref="H176:L176">
    <cfRule type="containsText" dxfId="291" priority="258" operator="containsText" text="NA">
      <formula>NOT(ISERROR(SEARCH("NA",H176)))</formula>
    </cfRule>
    <cfRule type="cellIs" dxfId="290" priority="260" operator="greaterThan">
      <formula>0.05</formula>
    </cfRule>
  </conditionalFormatting>
  <conditionalFormatting sqref="H176:L176">
    <cfRule type="cellIs" dxfId="289" priority="257" operator="between">
      <formula>-0.05</formula>
      <formula>0.05</formula>
    </cfRule>
    <cfRule type="cellIs" dxfId="288" priority="259" operator="lessThan">
      <formula>-0.05</formula>
    </cfRule>
  </conditionalFormatting>
  <conditionalFormatting sqref="G177:L177">
    <cfRule type="containsText" dxfId="287" priority="254" operator="containsText" text="NA">
      <formula>NOT(ISERROR(SEARCH("NA",G177)))</formula>
    </cfRule>
    <cfRule type="cellIs" dxfId="286" priority="256" operator="greaterThan">
      <formula>0.05</formula>
    </cfRule>
  </conditionalFormatting>
  <conditionalFormatting sqref="G177:L177">
    <cfRule type="cellIs" dxfId="285" priority="253" operator="between">
      <formula>-0.05</formula>
      <formula>0.05</formula>
    </cfRule>
    <cfRule type="cellIs" dxfId="284" priority="255" operator="lessThan">
      <formula>-0.05</formula>
    </cfRule>
  </conditionalFormatting>
  <conditionalFormatting sqref="G178">
    <cfRule type="containsText" dxfId="283" priority="250" operator="containsText" text="NA">
      <formula>NOT(ISERROR(SEARCH("NA",G178)))</formula>
    </cfRule>
    <cfRule type="cellIs" dxfId="282" priority="252" operator="greaterThan">
      <formula>0.05</formula>
    </cfRule>
  </conditionalFormatting>
  <conditionalFormatting sqref="G178">
    <cfRule type="cellIs" dxfId="281" priority="249" operator="between">
      <formula>-0.05</formula>
      <formula>0.05</formula>
    </cfRule>
    <cfRule type="cellIs" dxfId="280" priority="251" operator="lessThan">
      <formula>-0.05</formula>
    </cfRule>
  </conditionalFormatting>
  <conditionalFormatting sqref="H178:L178">
    <cfRule type="containsText" dxfId="279" priority="246" operator="containsText" text="NA">
      <formula>NOT(ISERROR(SEARCH("NA",H178)))</formula>
    </cfRule>
    <cfRule type="cellIs" dxfId="278" priority="248" operator="greaterThan">
      <formula>0.05</formula>
    </cfRule>
  </conditionalFormatting>
  <conditionalFormatting sqref="H178:L178">
    <cfRule type="cellIs" dxfId="277" priority="245" operator="between">
      <formula>-0.05</formula>
      <formula>0.05</formula>
    </cfRule>
    <cfRule type="cellIs" dxfId="276" priority="247" operator="lessThan">
      <formula>-0.05</formula>
    </cfRule>
  </conditionalFormatting>
  <conditionalFormatting sqref="G179:L179">
    <cfRule type="containsText" dxfId="275" priority="242" operator="containsText" text="NA">
      <formula>NOT(ISERROR(SEARCH("NA",G179)))</formula>
    </cfRule>
    <cfRule type="cellIs" dxfId="274" priority="244" operator="greaterThan">
      <formula>0.05</formula>
    </cfRule>
  </conditionalFormatting>
  <conditionalFormatting sqref="G179:L179">
    <cfRule type="cellIs" dxfId="273" priority="241" operator="between">
      <formula>-0.05</formula>
      <formula>0.05</formula>
    </cfRule>
    <cfRule type="cellIs" dxfId="272" priority="243" operator="lessThan">
      <formula>-0.05</formula>
    </cfRule>
  </conditionalFormatting>
  <conditionalFormatting sqref="G180">
    <cfRule type="containsText" dxfId="271" priority="238" operator="containsText" text="NA">
      <formula>NOT(ISERROR(SEARCH("NA",G180)))</formula>
    </cfRule>
    <cfRule type="cellIs" dxfId="270" priority="240" operator="greaterThan">
      <formula>0.05</formula>
    </cfRule>
  </conditionalFormatting>
  <conditionalFormatting sqref="G180">
    <cfRule type="cellIs" dxfId="269" priority="237" operator="between">
      <formula>-0.05</formula>
      <formula>0.05</formula>
    </cfRule>
    <cfRule type="cellIs" dxfId="268" priority="239" operator="lessThan">
      <formula>-0.05</formula>
    </cfRule>
  </conditionalFormatting>
  <conditionalFormatting sqref="H180:L180">
    <cfRule type="containsText" dxfId="267" priority="234" operator="containsText" text="NA">
      <formula>NOT(ISERROR(SEARCH("NA",H180)))</formula>
    </cfRule>
    <cfRule type="cellIs" dxfId="266" priority="236" operator="greaterThan">
      <formula>0.05</formula>
    </cfRule>
  </conditionalFormatting>
  <conditionalFormatting sqref="H180:L180">
    <cfRule type="cellIs" dxfId="265" priority="233" operator="between">
      <formula>-0.05</formula>
      <formula>0.05</formula>
    </cfRule>
    <cfRule type="cellIs" dxfId="264" priority="235" operator="lessThan">
      <formula>-0.05</formula>
    </cfRule>
  </conditionalFormatting>
  <conditionalFormatting sqref="G181:L181">
    <cfRule type="containsText" dxfId="263" priority="230" operator="containsText" text="NA">
      <formula>NOT(ISERROR(SEARCH("NA",G181)))</formula>
    </cfRule>
    <cfRule type="cellIs" dxfId="262" priority="232" operator="greaterThan">
      <formula>0.05</formula>
    </cfRule>
  </conditionalFormatting>
  <conditionalFormatting sqref="G181:L181">
    <cfRule type="cellIs" dxfId="261" priority="229" operator="between">
      <formula>-0.05</formula>
      <formula>0.05</formula>
    </cfRule>
    <cfRule type="cellIs" dxfId="260" priority="231" operator="lessThan">
      <formula>-0.05</formula>
    </cfRule>
  </conditionalFormatting>
  <conditionalFormatting sqref="G182">
    <cfRule type="containsText" dxfId="259" priority="226" operator="containsText" text="NA">
      <formula>NOT(ISERROR(SEARCH("NA",G182)))</formula>
    </cfRule>
    <cfRule type="cellIs" dxfId="258" priority="228" operator="greaterThan">
      <formula>0.05</formula>
    </cfRule>
  </conditionalFormatting>
  <conditionalFormatting sqref="G182">
    <cfRule type="cellIs" dxfId="257" priority="225" operator="between">
      <formula>-0.05</formula>
      <formula>0.05</formula>
    </cfRule>
    <cfRule type="cellIs" dxfId="256" priority="227" operator="lessThan">
      <formula>-0.05</formula>
    </cfRule>
  </conditionalFormatting>
  <conditionalFormatting sqref="H182:L182">
    <cfRule type="containsText" dxfId="255" priority="222" operator="containsText" text="NA">
      <formula>NOT(ISERROR(SEARCH("NA",H182)))</formula>
    </cfRule>
    <cfRule type="cellIs" dxfId="254" priority="224" operator="greaterThan">
      <formula>0.05</formula>
    </cfRule>
  </conditionalFormatting>
  <conditionalFormatting sqref="H182:L182">
    <cfRule type="cellIs" dxfId="253" priority="221" operator="between">
      <formula>-0.05</formula>
      <formula>0.05</formula>
    </cfRule>
    <cfRule type="cellIs" dxfId="252" priority="223" operator="lessThan">
      <formula>-0.05</formula>
    </cfRule>
  </conditionalFormatting>
  <conditionalFormatting sqref="G183:L183">
    <cfRule type="containsText" dxfId="251" priority="218" operator="containsText" text="NA">
      <formula>NOT(ISERROR(SEARCH("NA",G183)))</formula>
    </cfRule>
    <cfRule type="cellIs" dxfId="250" priority="220" operator="greaterThan">
      <formula>0.05</formula>
    </cfRule>
  </conditionalFormatting>
  <conditionalFormatting sqref="G183:L183">
    <cfRule type="cellIs" dxfId="249" priority="217" operator="between">
      <formula>-0.05</formula>
      <formula>0.05</formula>
    </cfRule>
    <cfRule type="cellIs" dxfId="248" priority="219" operator="lessThan">
      <formula>-0.05</formula>
    </cfRule>
  </conditionalFormatting>
  <conditionalFormatting sqref="G184">
    <cfRule type="containsText" dxfId="247" priority="214" operator="containsText" text="NA">
      <formula>NOT(ISERROR(SEARCH("NA",G184)))</formula>
    </cfRule>
    <cfRule type="cellIs" dxfId="246" priority="216" operator="greaterThan">
      <formula>0.05</formula>
    </cfRule>
  </conditionalFormatting>
  <conditionalFormatting sqref="G184">
    <cfRule type="cellIs" dxfId="245" priority="213" operator="between">
      <formula>-0.05</formula>
      <formula>0.05</formula>
    </cfRule>
    <cfRule type="cellIs" dxfId="244" priority="215" operator="lessThan">
      <formula>-0.05</formula>
    </cfRule>
  </conditionalFormatting>
  <conditionalFormatting sqref="H184:L184">
    <cfRule type="containsText" dxfId="243" priority="210" operator="containsText" text="NA">
      <formula>NOT(ISERROR(SEARCH("NA",H184)))</formula>
    </cfRule>
    <cfRule type="cellIs" dxfId="242" priority="212" operator="greaterThan">
      <formula>0.05</formula>
    </cfRule>
  </conditionalFormatting>
  <conditionalFormatting sqref="H184:L184">
    <cfRule type="cellIs" dxfId="241" priority="209" operator="between">
      <formula>-0.05</formula>
      <formula>0.05</formula>
    </cfRule>
    <cfRule type="cellIs" dxfId="240" priority="211" operator="lessThan">
      <formula>-0.05</formula>
    </cfRule>
  </conditionalFormatting>
  <conditionalFormatting sqref="G185:L185">
    <cfRule type="containsText" dxfId="239" priority="206" operator="containsText" text="NA">
      <formula>NOT(ISERROR(SEARCH("NA",G185)))</formula>
    </cfRule>
    <cfRule type="cellIs" dxfId="238" priority="208" operator="greaterThan">
      <formula>0.05</formula>
    </cfRule>
  </conditionalFormatting>
  <conditionalFormatting sqref="G185:L185">
    <cfRule type="cellIs" dxfId="237" priority="205" operator="between">
      <formula>-0.05</formula>
      <formula>0.05</formula>
    </cfRule>
    <cfRule type="cellIs" dxfId="236" priority="207" operator="lessThan">
      <formula>-0.05</formula>
    </cfRule>
  </conditionalFormatting>
  <conditionalFormatting sqref="G186">
    <cfRule type="containsText" dxfId="235" priority="202" operator="containsText" text="NA">
      <formula>NOT(ISERROR(SEARCH("NA",G186)))</formula>
    </cfRule>
    <cfRule type="cellIs" dxfId="234" priority="204" operator="greaterThan">
      <formula>0.05</formula>
    </cfRule>
  </conditionalFormatting>
  <conditionalFormatting sqref="G186">
    <cfRule type="cellIs" dxfId="233" priority="201" operator="between">
      <formula>-0.05</formula>
      <formula>0.05</formula>
    </cfRule>
    <cfRule type="cellIs" dxfId="232" priority="203" operator="lessThan">
      <formula>-0.05</formula>
    </cfRule>
  </conditionalFormatting>
  <conditionalFormatting sqref="H186:L186">
    <cfRule type="containsText" dxfId="231" priority="198" operator="containsText" text="NA">
      <formula>NOT(ISERROR(SEARCH("NA",H186)))</formula>
    </cfRule>
    <cfRule type="cellIs" dxfId="230" priority="200" operator="greaterThan">
      <formula>0.05</formula>
    </cfRule>
  </conditionalFormatting>
  <conditionalFormatting sqref="H186:L186">
    <cfRule type="cellIs" dxfId="229" priority="197" operator="between">
      <formula>-0.05</formula>
      <formula>0.05</formula>
    </cfRule>
    <cfRule type="cellIs" dxfId="228" priority="199" operator="lessThan">
      <formula>-0.05</formula>
    </cfRule>
  </conditionalFormatting>
  <conditionalFormatting sqref="G187:L187">
    <cfRule type="containsText" dxfId="227" priority="194" operator="containsText" text="NA">
      <formula>NOT(ISERROR(SEARCH("NA",G187)))</formula>
    </cfRule>
    <cfRule type="cellIs" dxfId="226" priority="196" operator="greaterThan">
      <formula>0.05</formula>
    </cfRule>
  </conditionalFormatting>
  <conditionalFormatting sqref="G187:L187">
    <cfRule type="cellIs" dxfId="225" priority="193" operator="between">
      <formula>-0.05</formula>
      <formula>0.05</formula>
    </cfRule>
    <cfRule type="cellIs" dxfId="224" priority="195" operator="lessThan">
      <formula>-0.05</formula>
    </cfRule>
  </conditionalFormatting>
  <conditionalFormatting sqref="G188">
    <cfRule type="containsText" dxfId="223" priority="190" operator="containsText" text="NA">
      <formula>NOT(ISERROR(SEARCH("NA",G188)))</formula>
    </cfRule>
    <cfRule type="cellIs" dxfId="222" priority="192" operator="greaterThan">
      <formula>0.05</formula>
    </cfRule>
  </conditionalFormatting>
  <conditionalFormatting sqref="G188">
    <cfRule type="cellIs" dxfId="221" priority="189" operator="between">
      <formula>-0.05</formula>
      <formula>0.05</formula>
    </cfRule>
    <cfRule type="cellIs" dxfId="220" priority="191" operator="lessThan">
      <formula>-0.05</formula>
    </cfRule>
  </conditionalFormatting>
  <conditionalFormatting sqref="H188:L188">
    <cfRule type="containsText" dxfId="219" priority="186" operator="containsText" text="NA">
      <formula>NOT(ISERROR(SEARCH("NA",H188)))</formula>
    </cfRule>
    <cfRule type="cellIs" dxfId="218" priority="188" operator="greaterThan">
      <formula>0.05</formula>
    </cfRule>
  </conditionalFormatting>
  <conditionalFormatting sqref="H188:L188">
    <cfRule type="cellIs" dxfId="217" priority="185" operator="between">
      <formula>-0.05</formula>
      <formula>0.05</formula>
    </cfRule>
    <cfRule type="cellIs" dxfId="216" priority="187" operator="lessThan">
      <formula>-0.05</formula>
    </cfRule>
  </conditionalFormatting>
  <conditionalFormatting sqref="G189:L189">
    <cfRule type="containsText" dxfId="215" priority="182" operator="containsText" text="NA">
      <formula>NOT(ISERROR(SEARCH("NA",G189)))</formula>
    </cfRule>
    <cfRule type="cellIs" dxfId="214" priority="184" operator="greaterThan">
      <formula>0.05</formula>
    </cfRule>
  </conditionalFormatting>
  <conditionalFormatting sqref="G189:L189">
    <cfRule type="cellIs" dxfId="213" priority="181" operator="between">
      <formula>-0.05</formula>
      <formula>0.05</formula>
    </cfRule>
    <cfRule type="cellIs" dxfId="212" priority="183" operator="lessThan">
      <formula>-0.05</formula>
    </cfRule>
  </conditionalFormatting>
  <conditionalFormatting sqref="G190">
    <cfRule type="containsText" dxfId="211" priority="178" operator="containsText" text="NA">
      <formula>NOT(ISERROR(SEARCH("NA",G190)))</formula>
    </cfRule>
    <cfRule type="cellIs" dxfId="210" priority="180" operator="greaterThan">
      <formula>0.05</formula>
    </cfRule>
  </conditionalFormatting>
  <conditionalFormatting sqref="G190">
    <cfRule type="cellIs" dxfId="209" priority="177" operator="between">
      <formula>-0.05</formula>
      <formula>0.05</formula>
    </cfRule>
    <cfRule type="cellIs" dxfId="208" priority="179" operator="lessThan">
      <formula>-0.05</formula>
    </cfRule>
  </conditionalFormatting>
  <conditionalFormatting sqref="H190:L190">
    <cfRule type="containsText" dxfId="207" priority="174" operator="containsText" text="NA">
      <formula>NOT(ISERROR(SEARCH("NA",H190)))</formula>
    </cfRule>
    <cfRule type="cellIs" dxfId="206" priority="176" operator="greaterThan">
      <formula>0.05</formula>
    </cfRule>
  </conditionalFormatting>
  <conditionalFormatting sqref="H190:L190">
    <cfRule type="cellIs" dxfId="205" priority="173" operator="between">
      <formula>-0.05</formula>
      <formula>0.05</formula>
    </cfRule>
    <cfRule type="cellIs" dxfId="204" priority="175" operator="lessThan">
      <formula>-0.05</formula>
    </cfRule>
  </conditionalFormatting>
  <conditionalFormatting sqref="G191:L191">
    <cfRule type="containsText" dxfId="203" priority="170" operator="containsText" text="NA">
      <formula>NOT(ISERROR(SEARCH("NA",G191)))</formula>
    </cfRule>
    <cfRule type="cellIs" dxfId="202" priority="172" operator="greaterThan">
      <formula>0.05</formula>
    </cfRule>
  </conditionalFormatting>
  <conditionalFormatting sqref="G191:L191">
    <cfRule type="cellIs" dxfId="201" priority="169" operator="between">
      <formula>-0.05</formula>
      <formula>0.05</formula>
    </cfRule>
    <cfRule type="cellIs" dxfId="200" priority="171" operator="lessThan">
      <formula>-0.05</formula>
    </cfRule>
  </conditionalFormatting>
  <conditionalFormatting sqref="G192">
    <cfRule type="containsText" dxfId="199" priority="166" operator="containsText" text="NA">
      <formula>NOT(ISERROR(SEARCH("NA",G192)))</formula>
    </cfRule>
    <cfRule type="cellIs" dxfId="198" priority="168" operator="greaterThan">
      <formula>0.05</formula>
    </cfRule>
  </conditionalFormatting>
  <conditionalFormatting sqref="G192">
    <cfRule type="cellIs" dxfId="197" priority="165" operator="between">
      <formula>-0.05</formula>
      <formula>0.05</formula>
    </cfRule>
    <cfRule type="cellIs" dxfId="196" priority="167" operator="lessThan">
      <formula>-0.05</formula>
    </cfRule>
  </conditionalFormatting>
  <conditionalFormatting sqref="H192:L192">
    <cfRule type="containsText" dxfId="195" priority="162" operator="containsText" text="NA">
      <formula>NOT(ISERROR(SEARCH("NA",H192)))</formula>
    </cfRule>
    <cfRule type="cellIs" dxfId="194" priority="164" operator="greaterThan">
      <formula>0.05</formula>
    </cfRule>
  </conditionalFormatting>
  <conditionalFormatting sqref="H192:L192">
    <cfRule type="cellIs" dxfId="193" priority="161" operator="between">
      <formula>-0.05</formula>
      <formula>0.05</formula>
    </cfRule>
    <cfRule type="cellIs" dxfId="192" priority="163" operator="lessThan">
      <formula>-0.05</formula>
    </cfRule>
  </conditionalFormatting>
  <conditionalFormatting sqref="G193:L193">
    <cfRule type="containsText" dxfId="191" priority="158" operator="containsText" text="NA">
      <formula>NOT(ISERROR(SEARCH("NA",G193)))</formula>
    </cfRule>
    <cfRule type="cellIs" dxfId="190" priority="160" operator="greaterThan">
      <formula>0.05</formula>
    </cfRule>
  </conditionalFormatting>
  <conditionalFormatting sqref="G193:L193">
    <cfRule type="cellIs" dxfId="189" priority="157" operator="between">
      <formula>-0.05</formula>
      <formula>0.05</formula>
    </cfRule>
    <cfRule type="cellIs" dxfId="188" priority="159" operator="lessThan">
      <formula>-0.05</formula>
    </cfRule>
  </conditionalFormatting>
  <conditionalFormatting sqref="G194">
    <cfRule type="containsText" dxfId="187" priority="154" operator="containsText" text="NA">
      <formula>NOT(ISERROR(SEARCH("NA",G194)))</formula>
    </cfRule>
    <cfRule type="cellIs" dxfId="186" priority="156" operator="greaterThan">
      <formula>0.05</formula>
    </cfRule>
  </conditionalFormatting>
  <conditionalFormatting sqref="G194">
    <cfRule type="cellIs" dxfId="185" priority="153" operator="between">
      <formula>-0.05</formula>
      <formula>0.05</formula>
    </cfRule>
    <cfRule type="cellIs" dxfId="184" priority="155" operator="lessThan">
      <formula>-0.05</formula>
    </cfRule>
  </conditionalFormatting>
  <conditionalFormatting sqref="H194:L194">
    <cfRule type="containsText" dxfId="183" priority="150" operator="containsText" text="NA">
      <formula>NOT(ISERROR(SEARCH("NA",H194)))</formula>
    </cfRule>
    <cfRule type="cellIs" dxfId="182" priority="152" operator="greaterThan">
      <formula>0.05</formula>
    </cfRule>
  </conditionalFormatting>
  <conditionalFormatting sqref="H194:L194">
    <cfRule type="cellIs" dxfId="181" priority="149" operator="between">
      <formula>-0.05</formula>
      <formula>0.05</formula>
    </cfRule>
    <cfRule type="cellIs" dxfId="180" priority="151" operator="lessThan">
      <formula>-0.05</formula>
    </cfRule>
  </conditionalFormatting>
  <conditionalFormatting sqref="G195:L195">
    <cfRule type="containsText" dxfId="179" priority="146" operator="containsText" text="NA">
      <formula>NOT(ISERROR(SEARCH("NA",G195)))</formula>
    </cfRule>
    <cfRule type="cellIs" dxfId="178" priority="148" operator="greaterThan">
      <formula>0.05</formula>
    </cfRule>
  </conditionalFormatting>
  <conditionalFormatting sqref="G195:L195">
    <cfRule type="cellIs" dxfId="177" priority="145" operator="between">
      <formula>-0.05</formula>
      <formula>0.05</formula>
    </cfRule>
    <cfRule type="cellIs" dxfId="176" priority="147" operator="lessThan">
      <formula>-0.05</formula>
    </cfRule>
  </conditionalFormatting>
  <conditionalFormatting sqref="G196">
    <cfRule type="containsText" dxfId="175" priority="142" operator="containsText" text="NA">
      <formula>NOT(ISERROR(SEARCH("NA",G196)))</formula>
    </cfRule>
    <cfRule type="cellIs" dxfId="174" priority="144" operator="greaterThan">
      <formula>0.05</formula>
    </cfRule>
  </conditionalFormatting>
  <conditionalFormatting sqref="G196">
    <cfRule type="cellIs" dxfId="173" priority="141" operator="between">
      <formula>-0.05</formula>
      <formula>0.05</formula>
    </cfRule>
    <cfRule type="cellIs" dxfId="172" priority="143" operator="lessThan">
      <formula>-0.05</formula>
    </cfRule>
  </conditionalFormatting>
  <conditionalFormatting sqref="H196:L196">
    <cfRule type="containsText" dxfId="171" priority="138" operator="containsText" text="NA">
      <formula>NOT(ISERROR(SEARCH("NA",H196)))</formula>
    </cfRule>
    <cfRule type="cellIs" dxfId="170" priority="140" operator="greaterThan">
      <formula>0.05</formula>
    </cfRule>
  </conditionalFormatting>
  <conditionalFormatting sqref="H196:L196">
    <cfRule type="cellIs" dxfId="169" priority="137" operator="between">
      <formula>-0.05</formula>
      <formula>0.05</formula>
    </cfRule>
    <cfRule type="cellIs" dxfId="168" priority="139" operator="lessThan">
      <formula>-0.05</formula>
    </cfRule>
  </conditionalFormatting>
  <conditionalFormatting sqref="G197:L197">
    <cfRule type="containsText" dxfId="167" priority="134" operator="containsText" text="NA">
      <formula>NOT(ISERROR(SEARCH("NA",G197)))</formula>
    </cfRule>
    <cfRule type="cellIs" dxfId="166" priority="136" operator="greaterThan">
      <formula>0.05</formula>
    </cfRule>
  </conditionalFormatting>
  <conditionalFormatting sqref="G197:L197">
    <cfRule type="cellIs" dxfId="165" priority="133" operator="between">
      <formula>-0.05</formula>
      <formula>0.05</formula>
    </cfRule>
    <cfRule type="cellIs" dxfId="164" priority="135" operator="lessThan">
      <formula>-0.05</formula>
    </cfRule>
  </conditionalFormatting>
  <conditionalFormatting sqref="G198">
    <cfRule type="containsText" dxfId="163" priority="130" operator="containsText" text="NA">
      <formula>NOT(ISERROR(SEARCH("NA",G198)))</formula>
    </cfRule>
    <cfRule type="cellIs" dxfId="162" priority="132" operator="greaterThan">
      <formula>0.05</formula>
    </cfRule>
  </conditionalFormatting>
  <conditionalFormatting sqref="G198">
    <cfRule type="cellIs" dxfId="161" priority="129" operator="between">
      <formula>-0.05</formula>
      <formula>0.05</formula>
    </cfRule>
    <cfRule type="cellIs" dxfId="160" priority="131" operator="lessThan">
      <formula>-0.05</formula>
    </cfRule>
  </conditionalFormatting>
  <conditionalFormatting sqref="H198:L198">
    <cfRule type="containsText" dxfId="159" priority="126" operator="containsText" text="NA">
      <formula>NOT(ISERROR(SEARCH("NA",H198)))</formula>
    </cfRule>
    <cfRule type="cellIs" dxfId="158" priority="128" operator="greaterThan">
      <formula>0.05</formula>
    </cfRule>
  </conditionalFormatting>
  <conditionalFormatting sqref="H198:L198">
    <cfRule type="cellIs" dxfId="157" priority="125" operator="between">
      <formula>-0.05</formula>
      <formula>0.05</formula>
    </cfRule>
    <cfRule type="cellIs" dxfId="156" priority="127" operator="lessThan">
      <formula>-0.05</formula>
    </cfRule>
  </conditionalFormatting>
  <conditionalFormatting sqref="G199:L199">
    <cfRule type="containsText" dxfId="155" priority="122" operator="containsText" text="NA">
      <formula>NOT(ISERROR(SEARCH("NA",G199)))</formula>
    </cfRule>
    <cfRule type="cellIs" dxfId="154" priority="124" operator="greaterThan">
      <formula>0.05</formula>
    </cfRule>
  </conditionalFormatting>
  <conditionalFormatting sqref="G199:L199">
    <cfRule type="cellIs" dxfId="153" priority="121" operator="between">
      <formula>-0.05</formula>
      <formula>0.05</formula>
    </cfRule>
    <cfRule type="cellIs" dxfId="152" priority="123" operator="lessThan">
      <formula>-0.05</formula>
    </cfRule>
  </conditionalFormatting>
  <conditionalFormatting sqref="G200">
    <cfRule type="containsText" dxfId="151" priority="118" operator="containsText" text="NA">
      <formula>NOT(ISERROR(SEARCH("NA",G200)))</formula>
    </cfRule>
    <cfRule type="cellIs" dxfId="150" priority="120" operator="greaterThan">
      <formula>0.05</formula>
    </cfRule>
  </conditionalFormatting>
  <conditionalFormatting sqref="G200">
    <cfRule type="cellIs" dxfId="149" priority="117" operator="between">
      <formula>-0.05</formula>
      <formula>0.05</formula>
    </cfRule>
    <cfRule type="cellIs" dxfId="148" priority="119" operator="lessThan">
      <formula>-0.05</formula>
    </cfRule>
  </conditionalFormatting>
  <conditionalFormatting sqref="H200:L200">
    <cfRule type="containsText" dxfId="147" priority="114" operator="containsText" text="NA">
      <formula>NOT(ISERROR(SEARCH("NA",H200)))</formula>
    </cfRule>
    <cfRule type="cellIs" dxfId="146" priority="116" operator="greaterThan">
      <formula>0.05</formula>
    </cfRule>
  </conditionalFormatting>
  <conditionalFormatting sqref="H200:L200">
    <cfRule type="cellIs" dxfId="145" priority="113" operator="between">
      <formula>-0.05</formula>
      <formula>0.05</formula>
    </cfRule>
    <cfRule type="cellIs" dxfId="144" priority="115" operator="lessThan">
      <formula>-0.05</formula>
    </cfRule>
  </conditionalFormatting>
  <conditionalFormatting sqref="G201:L201">
    <cfRule type="containsText" dxfId="143" priority="110" operator="containsText" text="NA">
      <formula>NOT(ISERROR(SEARCH("NA",G201)))</formula>
    </cfRule>
    <cfRule type="cellIs" dxfId="142" priority="112" operator="greaterThan">
      <formula>0.05</formula>
    </cfRule>
  </conditionalFormatting>
  <conditionalFormatting sqref="G201:L201">
    <cfRule type="cellIs" dxfId="141" priority="109" operator="between">
      <formula>-0.05</formula>
      <formula>0.05</formula>
    </cfRule>
    <cfRule type="cellIs" dxfId="140" priority="111" operator="lessThan">
      <formula>-0.05</formula>
    </cfRule>
  </conditionalFormatting>
  <conditionalFormatting sqref="G202">
    <cfRule type="containsText" dxfId="139" priority="106" operator="containsText" text="NA">
      <formula>NOT(ISERROR(SEARCH("NA",G202)))</formula>
    </cfRule>
    <cfRule type="cellIs" dxfId="138" priority="108" operator="greaterThan">
      <formula>0.05</formula>
    </cfRule>
  </conditionalFormatting>
  <conditionalFormatting sqref="G202">
    <cfRule type="cellIs" dxfId="137" priority="105" operator="between">
      <formula>-0.05</formula>
      <formula>0.05</formula>
    </cfRule>
    <cfRule type="cellIs" dxfId="136" priority="107" operator="lessThan">
      <formula>-0.05</formula>
    </cfRule>
  </conditionalFormatting>
  <conditionalFormatting sqref="H202:L202">
    <cfRule type="containsText" dxfId="135" priority="102" operator="containsText" text="NA">
      <formula>NOT(ISERROR(SEARCH("NA",H202)))</formula>
    </cfRule>
    <cfRule type="cellIs" dxfId="134" priority="104" operator="greaterThan">
      <formula>0.05</formula>
    </cfRule>
  </conditionalFormatting>
  <conditionalFormatting sqref="H202:L202">
    <cfRule type="cellIs" dxfId="133" priority="101" operator="between">
      <formula>-0.05</formula>
      <formula>0.05</formula>
    </cfRule>
    <cfRule type="cellIs" dxfId="132" priority="103" operator="lessThan">
      <formula>-0.05</formula>
    </cfRule>
  </conditionalFormatting>
  <conditionalFormatting sqref="G203:L203">
    <cfRule type="containsText" dxfId="131" priority="98" operator="containsText" text="NA">
      <formula>NOT(ISERROR(SEARCH("NA",G203)))</formula>
    </cfRule>
    <cfRule type="cellIs" dxfId="130" priority="100" operator="greaterThan">
      <formula>0.05</formula>
    </cfRule>
  </conditionalFormatting>
  <conditionalFormatting sqref="G203:L203">
    <cfRule type="cellIs" dxfId="129" priority="97" operator="between">
      <formula>-0.05</formula>
      <formula>0.05</formula>
    </cfRule>
    <cfRule type="cellIs" dxfId="128" priority="99" operator="lessThan">
      <formula>-0.05</formula>
    </cfRule>
  </conditionalFormatting>
  <conditionalFormatting sqref="G204">
    <cfRule type="containsText" dxfId="127" priority="94" operator="containsText" text="NA">
      <formula>NOT(ISERROR(SEARCH("NA",G204)))</formula>
    </cfRule>
    <cfRule type="cellIs" dxfId="126" priority="96" operator="greaterThan">
      <formula>0.05</formula>
    </cfRule>
  </conditionalFormatting>
  <conditionalFormatting sqref="G204">
    <cfRule type="cellIs" dxfId="125" priority="93" operator="between">
      <formula>-0.05</formula>
      <formula>0.05</formula>
    </cfRule>
    <cfRule type="cellIs" dxfId="124" priority="95" operator="lessThan">
      <formula>-0.05</formula>
    </cfRule>
  </conditionalFormatting>
  <conditionalFormatting sqref="H204:L204">
    <cfRule type="containsText" dxfId="123" priority="90" operator="containsText" text="NA">
      <formula>NOT(ISERROR(SEARCH("NA",H204)))</formula>
    </cfRule>
    <cfRule type="cellIs" dxfId="122" priority="92" operator="greaterThan">
      <formula>0.05</formula>
    </cfRule>
  </conditionalFormatting>
  <conditionalFormatting sqref="H204:L204">
    <cfRule type="cellIs" dxfId="121" priority="89" operator="between">
      <formula>-0.05</formula>
      <formula>0.05</formula>
    </cfRule>
    <cfRule type="cellIs" dxfId="120" priority="91" operator="lessThan">
      <formula>-0.05</formula>
    </cfRule>
  </conditionalFormatting>
  <conditionalFormatting sqref="G205:L205">
    <cfRule type="containsText" dxfId="119" priority="86" operator="containsText" text="NA">
      <formula>NOT(ISERROR(SEARCH("NA",G205)))</formula>
    </cfRule>
    <cfRule type="cellIs" dxfId="118" priority="88" operator="greaterThan">
      <formula>0.05</formula>
    </cfRule>
  </conditionalFormatting>
  <conditionalFormatting sqref="G205:L205">
    <cfRule type="cellIs" dxfId="117" priority="85" operator="between">
      <formula>-0.05</formula>
      <formula>0.05</formula>
    </cfRule>
    <cfRule type="cellIs" dxfId="116" priority="87" operator="lessThan">
      <formula>-0.05</formula>
    </cfRule>
  </conditionalFormatting>
  <conditionalFormatting sqref="G206">
    <cfRule type="containsText" dxfId="115" priority="82" operator="containsText" text="NA">
      <formula>NOT(ISERROR(SEARCH("NA",G206)))</formula>
    </cfRule>
    <cfRule type="cellIs" dxfId="114" priority="84" operator="greaterThan">
      <formula>0.05</formula>
    </cfRule>
  </conditionalFormatting>
  <conditionalFormatting sqref="G206">
    <cfRule type="cellIs" dxfId="113" priority="81" operator="between">
      <formula>-0.05</formula>
      <formula>0.05</formula>
    </cfRule>
    <cfRule type="cellIs" dxfId="112" priority="83" operator="lessThan">
      <formula>-0.05</formula>
    </cfRule>
  </conditionalFormatting>
  <conditionalFormatting sqref="H206:L206">
    <cfRule type="containsText" dxfId="111" priority="78" operator="containsText" text="NA">
      <formula>NOT(ISERROR(SEARCH("NA",H206)))</formula>
    </cfRule>
    <cfRule type="cellIs" dxfId="110" priority="80" operator="greaterThan">
      <formula>0.05</formula>
    </cfRule>
  </conditionalFormatting>
  <conditionalFormatting sqref="H206:L206">
    <cfRule type="cellIs" dxfId="109" priority="77" operator="between">
      <formula>-0.05</formula>
      <formula>0.05</formula>
    </cfRule>
    <cfRule type="cellIs" dxfId="108" priority="79" operator="lessThan">
      <formula>-0.05</formula>
    </cfRule>
  </conditionalFormatting>
  <conditionalFormatting sqref="G207:L207">
    <cfRule type="containsText" dxfId="107" priority="74" operator="containsText" text="NA">
      <formula>NOT(ISERROR(SEARCH("NA",G207)))</formula>
    </cfRule>
    <cfRule type="cellIs" dxfId="106" priority="76" operator="greaterThan">
      <formula>0.05</formula>
    </cfRule>
  </conditionalFormatting>
  <conditionalFormatting sqref="G207:L207">
    <cfRule type="cellIs" dxfId="105" priority="73" operator="between">
      <formula>-0.05</formula>
      <formula>0.05</formula>
    </cfRule>
    <cfRule type="cellIs" dxfId="104" priority="75" operator="lessThan">
      <formula>-0.05</formula>
    </cfRule>
  </conditionalFormatting>
  <conditionalFormatting sqref="G208">
    <cfRule type="containsText" dxfId="103" priority="70" operator="containsText" text="NA">
      <formula>NOT(ISERROR(SEARCH("NA",G208)))</formula>
    </cfRule>
    <cfRule type="cellIs" dxfId="102" priority="72" operator="greaterThan">
      <formula>0.05</formula>
    </cfRule>
  </conditionalFormatting>
  <conditionalFormatting sqref="G208">
    <cfRule type="cellIs" dxfId="101" priority="69" operator="between">
      <formula>-0.05</formula>
      <formula>0.05</formula>
    </cfRule>
    <cfRule type="cellIs" dxfId="100" priority="71" operator="lessThan">
      <formula>-0.05</formula>
    </cfRule>
  </conditionalFormatting>
  <conditionalFormatting sqref="H208:L208">
    <cfRule type="containsText" dxfId="99" priority="66" operator="containsText" text="NA">
      <formula>NOT(ISERROR(SEARCH("NA",H208)))</formula>
    </cfRule>
    <cfRule type="cellIs" dxfId="98" priority="68" operator="greaterThan">
      <formula>0.05</formula>
    </cfRule>
  </conditionalFormatting>
  <conditionalFormatting sqref="H208:L208">
    <cfRule type="cellIs" dxfId="97" priority="65" operator="between">
      <formula>-0.05</formula>
      <formula>0.05</formula>
    </cfRule>
    <cfRule type="cellIs" dxfId="96" priority="67" operator="lessThan">
      <formula>-0.05</formula>
    </cfRule>
  </conditionalFormatting>
  <conditionalFormatting sqref="G209:L209">
    <cfRule type="containsText" dxfId="95" priority="62" operator="containsText" text="NA">
      <formula>NOT(ISERROR(SEARCH("NA",G209)))</formula>
    </cfRule>
    <cfRule type="cellIs" dxfId="94" priority="64" operator="greaterThan">
      <formula>0.05</formula>
    </cfRule>
  </conditionalFormatting>
  <conditionalFormatting sqref="G209:L209">
    <cfRule type="cellIs" dxfId="93" priority="61" operator="between">
      <formula>-0.05</formula>
      <formula>0.05</formula>
    </cfRule>
    <cfRule type="cellIs" dxfId="92" priority="63" operator="lessThan">
      <formula>-0.05</formula>
    </cfRule>
  </conditionalFormatting>
  <conditionalFormatting sqref="G210">
    <cfRule type="containsText" dxfId="91" priority="58" operator="containsText" text="NA">
      <formula>NOT(ISERROR(SEARCH("NA",G210)))</formula>
    </cfRule>
    <cfRule type="cellIs" dxfId="90" priority="60" operator="greaterThan">
      <formula>0.05</formula>
    </cfRule>
  </conditionalFormatting>
  <conditionalFormatting sqref="G210">
    <cfRule type="cellIs" dxfId="89" priority="57" operator="between">
      <formula>-0.05</formula>
      <formula>0.05</formula>
    </cfRule>
    <cfRule type="cellIs" dxfId="88" priority="59" operator="lessThan">
      <formula>-0.05</formula>
    </cfRule>
  </conditionalFormatting>
  <conditionalFormatting sqref="H210:L210">
    <cfRule type="containsText" dxfId="87" priority="54" operator="containsText" text="NA">
      <formula>NOT(ISERROR(SEARCH("NA",H210)))</formula>
    </cfRule>
    <cfRule type="cellIs" dxfId="86" priority="56" operator="greaterThan">
      <formula>0.05</formula>
    </cfRule>
  </conditionalFormatting>
  <conditionalFormatting sqref="H210:L210">
    <cfRule type="cellIs" dxfId="85" priority="53" operator="between">
      <formula>-0.05</formula>
      <formula>0.05</formula>
    </cfRule>
    <cfRule type="cellIs" dxfId="84" priority="55" operator="lessThan">
      <formula>-0.05</formula>
    </cfRule>
  </conditionalFormatting>
  <conditionalFormatting sqref="G211:L211">
    <cfRule type="containsText" dxfId="83" priority="50" operator="containsText" text="NA">
      <formula>NOT(ISERROR(SEARCH("NA",G211)))</formula>
    </cfRule>
    <cfRule type="cellIs" dxfId="82" priority="52" operator="greaterThan">
      <formula>0.05</formula>
    </cfRule>
  </conditionalFormatting>
  <conditionalFormatting sqref="G211:L211">
    <cfRule type="cellIs" dxfId="81" priority="49" operator="between">
      <formula>-0.05</formula>
      <formula>0.05</formula>
    </cfRule>
    <cfRule type="cellIs" dxfId="80" priority="51" operator="lessThan">
      <formula>-0.05</formula>
    </cfRule>
  </conditionalFormatting>
  <conditionalFormatting sqref="G212">
    <cfRule type="containsText" dxfId="79" priority="46" operator="containsText" text="NA">
      <formula>NOT(ISERROR(SEARCH("NA",G212)))</formula>
    </cfRule>
    <cfRule type="cellIs" dxfId="78" priority="48" operator="greaterThan">
      <formula>0.05</formula>
    </cfRule>
  </conditionalFormatting>
  <conditionalFormatting sqref="G212">
    <cfRule type="cellIs" dxfId="77" priority="45" operator="between">
      <formula>-0.05</formula>
      <formula>0.05</formula>
    </cfRule>
    <cfRule type="cellIs" dxfId="76" priority="47" operator="lessThan">
      <formula>-0.05</formula>
    </cfRule>
  </conditionalFormatting>
  <conditionalFormatting sqref="H212:L212">
    <cfRule type="containsText" dxfId="75" priority="42" operator="containsText" text="NA">
      <formula>NOT(ISERROR(SEARCH("NA",H212)))</formula>
    </cfRule>
    <cfRule type="cellIs" dxfId="74" priority="44" operator="greaterThan">
      <formula>0.05</formula>
    </cfRule>
  </conditionalFormatting>
  <conditionalFormatting sqref="H212:L212">
    <cfRule type="cellIs" dxfId="73" priority="41" operator="between">
      <formula>-0.05</formula>
      <formula>0.05</formula>
    </cfRule>
    <cfRule type="cellIs" dxfId="72" priority="43" operator="lessThan">
      <formula>-0.05</formula>
    </cfRule>
  </conditionalFormatting>
  <conditionalFormatting sqref="G213:L213">
    <cfRule type="containsText" dxfId="71" priority="38" operator="containsText" text="NA">
      <formula>NOT(ISERROR(SEARCH("NA",G213)))</formula>
    </cfRule>
    <cfRule type="cellIs" dxfId="70" priority="40" operator="greaterThan">
      <formula>0.05</formula>
    </cfRule>
  </conditionalFormatting>
  <conditionalFormatting sqref="G213:L213">
    <cfRule type="cellIs" dxfId="69" priority="37" operator="between">
      <formula>-0.05</formula>
      <formula>0.05</formula>
    </cfRule>
    <cfRule type="cellIs" dxfId="68" priority="39" operator="lessThan">
      <formula>-0.05</formula>
    </cfRule>
  </conditionalFormatting>
  <conditionalFormatting sqref="G214">
    <cfRule type="containsText" dxfId="67" priority="34" operator="containsText" text="NA">
      <formula>NOT(ISERROR(SEARCH("NA",G214)))</formula>
    </cfRule>
    <cfRule type="cellIs" dxfId="66" priority="36" operator="greaterThan">
      <formula>0.05</formula>
    </cfRule>
  </conditionalFormatting>
  <conditionalFormatting sqref="G214">
    <cfRule type="cellIs" dxfId="65" priority="33" operator="between">
      <formula>-0.05</formula>
      <formula>0.05</formula>
    </cfRule>
    <cfRule type="cellIs" dxfId="64" priority="35" operator="lessThan">
      <formula>-0.05</formula>
    </cfRule>
  </conditionalFormatting>
  <conditionalFormatting sqref="H214:L214">
    <cfRule type="containsText" dxfId="63" priority="30" operator="containsText" text="NA">
      <formula>NOT(ISERROR(SEARCH("NA",H214)))</formula>
    </cfRule>
    <cfRule type="cellIs" dxfId="62" priority="32" operator="greaterThan">
      <formula>0.05</formula>
    </cfRule>
  </conditionalFormatting>
  <conditionalFormatting sqref="H214:L214">
    <cfRule type="cellIs" dxfId="61" priority="29" operator="between">
      <formula>-0.05</formula>
      <formula>0.05</formula>
    </cfRule>
    <cfRule type="cellIs" dxfId="60" priority="31" operator="lessThan">
      <formula>-0.05</formula>
    </cfRule>
  </conditionalFormatting>
  <conditionalFormatting sqref="G215:L215">
    <cfRule type="containsText" dxfId="59" priority="26" operator="containsText" text="NA">
      <formula>NOT(ISERROR(SEARCH("NA",G215)))</formula>
    </cfRule>
    <cfRule type="cellIs" dxfId="58" priority="28" operator="greaterThan">
      <formula>0.05</formula>
    </cfRule>
  </conditionalFormatting>
  <conditionalFormatting sqref="G215:L215">
    <cfRule type="cellIs" dxfId="57" priority="25" operator="between">
      <formula>-0.05</formula>
      <formula>0.05</formula>
    </cfRule>
    <cfRule type="cellIs" dxfId="56" priority="27" operator="lessThan">
      <formula>-0.05</formula>
    </cfRule>
  </conditionalFormatting>
  <conditionalFormatting sqref="G216">
    <cfRule type="containsText" dxfId="55" priority="22" operator="containsText" text="NA">
      <formula>NOT(ISERROR(SEARCH("NA",G216)))</formula>
    </cfRule>
    <cfRule type="cellIs" dxfId="54" priority="24" operator="greaterThan">
      <formula>0.05</formula>
    </cfRule>
  </conditionalFormatting>
  <conditionalFormatting sqref="G216">
    <cfRule type="cellIs" dxfId="53" priority="21" operator="between">
      <formula>-0.05</formula>
      <formula>0.05</formula>
    </cfRule>
    <cfRule type="cellIs" dxfId="52" priority="23" operator="lessThan">
      <formula>-0.05</formula>
    </cfRule>
  </conditionalFormatting>
  <conditionalFormatting sqref="H216:L216">
    <cfRule type="containsText" dxfId="51" priority="18" operator="containsText" text="NA">
      <formula>NOT(ISERROR(SEARCH("NA",H216)))</formula>
    </cfRule>
    <cfRule type="cellIs" dxfId="50" priority="20" operator="greaterThan">
      <formula>0.05</formula>
    </cfRule>
  </conditionalFormatting>
  <conditionalFormatting sqref="H216:L216">
    <cfRule type="cellIs" dxfId="49" priority="17" operator="between">
      <formula>-0.05</formula>
      <formula>0.05</formula>
    </cfRule>
    <cfRule type="cellIs" dxfId="48" priority="19" operator="lessThan">
      <formula>-0.05</formula>
    </cfRule>
  </conditionalFormatting>
  <conditionalFormatting sqref="G217:L217">
    <cfRule type="containsText" dxfId="47" priority="14" operator="containsText" text="NA">
      <formula>NOT(ISERROR(SEARCH("NA",G217)))</formula>
    </cfRule>
    <cfRule type="cellIs" dxfId="46" priority="16" operator="greaterThan">
      <formula>0.05</formula>
    </cfRule>
  </conditionalFormatting>
  <conditionalFormatting sqref="G217:L217">
    <cfRule type="cellIs" dxfId="45" priority="13" operator="between">
      <formula>-0.05</formula>
      <formula>0.05</formula>
    </cfRule>
    <cfRule type="cellIs" dxfId="44" priority="15" operator="lessThan">
      <formula>-0.05</formula>
    </cfRule>
  </conditionalFormatting>
  <conditionalFormatting sqref="G218">
    <cfRule type="containsText" dxfId="43" priority="10" operator="containsText" text="NA">
      <formula>NOT(ISERROR(SEARCH("NA",G218)))</formula>
    </cfRule>
    <cfRule type="cellIs" dxfId="42" priority="12" operator="greaterThan">
      <formula>0.05</formula>
    </cfRule>
  </conditionalFormatting>
  <conditionalFormatting sqref="G218">
    <cfRule type="cellIs" dxfId="41" priority="9" operator="between">
      <formula>-0.05</formula>
      <formula>0.05</formula>
    </cfRule>
    <cfRule type="cellIs" dxfId="40" priority="11" operator="lessThan">
      <formula>-0.05</formula>
    </cfRule>
  </conditionalFormatting>
  <conditionalFormatting sqref="H218:L218">
    <cfRule type="containsText" dxfId="39" priority="6" operator="containsText" text="NA">
      <formula>NOT(ISERROR(SEARCH("NA",H218)))</formula>
    </cfRule>
    <cfRule type="cellIs" dxfId="38" priority="8" operator="greaterThan">
      <formula>0.05</formula>
    </cfRule>
  </conditionalFormatting>
  <conditionalFormatting sqref="H218:L218">
    <cfRule type="cellIs" dxfId="37" priority="5" operator="between">
      <formula>-0.05</formula>
      <formula>0.05</formula>
    </cfRule>
    <cfRule type="cellIs" dxfId="36" priority="7" operator="lessThan">
      <formula>-0.05</formula>
    </cfRule>
  </conditionalFormatting>
  <conditionalFormatting sqref="G219:L219">
    <cfRule type="containsText" dxfId="35" priority="2" operator="containsText" text="NA">
      <formula>NOT(ISERROR(SEARCH("NA",G219)))</formula>
    </cfRule>
    <cfRule type="cellIs" dxfId="34" priority="4" operator="greaterThan">
      <formula>0.05</formula>
    </cfRule>
  </conditionalFormatting>
  <conditionalFormatting sqref="G219:L219">
    <cfRule type="cellIs" dxfId="33" priority="1" operator="between">
      <formula>-0.05</formula>
      <formula>0.05</formula>
    </cfRule>
    <cfRule type="cellIs" dxfId="32" priority="3" operator="less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Drop Down 4">
              <controlPr defaultSize="0" autoLine="0" autoPict="0" macro="[0]!PopulateSFData">
                <anchor moveWithCells="1">
                  <from>
                    <xdr:col>1</xdr:col>
                    <xdr:colOff>657225</xdr:colOff>
                    <xdr:row>6</xdr:row>
                    <xdr:rowOff>0</xdr:rowOff>
                  </from>
                  <to>
                    <xdr:col>3</xdr:col>
                    <xdr:colOff>628650</xdr:colOff>
                    <xdr:row>7</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372"/>
  <sheetViews>
    <sheetView topLeftCell="K1" workbookViewId="0">
      <selection activeCell="O1" sqref="O1:O10000"/>
    </sheetView>
  </sheetViews>
  <sheetFormatPr defaultRowHeight="14.25"/>
  <cols>
    <col min="1" max="1" width="4" bestFit="1" customWidth="1"/>
    <col min="2" max="2" width="7.25" bestFit="1" customWidth="1"/>
    <col min="3" max="3" width="8.75" bestFit="1" customWidth="1"/>
    <col min="4" max="4" width="15.125" bestFit="1" customWidth="1"/>
    <col min="5" max="5" width="22.125" bestFit="1" customWidth="1"/>
    <col min="6" max="6" width="23.25" bestFit="1" customWidth="1"/>
    <col min="7" max="7" width="33.25" bestFit="1" customWidth="1"/>
    <col min="8" max="8" width="34.625" bestFit="1" customWidth="1"/>
    <col min="9" max="9" width="30.375" bestFit="1" customWidth="1"/>
    <col min="10" max="10" width="34.625" bestFit="1" customWidth="1"/>
    <col min="11" max="11" width="35.75" bestFit="1" customWidth="1"/>
    <col min="12" max="12" width="31.625" bestFit="1" customWidth="1"/>
    <col min="13" max="13" width="28.625" bestFit="1" customWidth="1"/>
    <col min="14" max="14" width="31.125" bestFit="1" customWidth="1"/>
    <col min="15" max="15" width="18" bestFit="1" customWidth="1"/>
  </cols>
  <sheetData>
    <row r="1" spans="1:15">
      <c r="A1" t="s">
        <v>85</v>
      </c>
      <c r="B1" t="s">
        <v>86</v>
      </c>
      <c r="C1" t="s">
        <v>87</v>
      </c>
      <c r="D1" t="s">
        <v>88</v>
      </c>
      <c r="E1" t="s">
        <v>89</v>
      </c>
      <c r="F1" t="s">
        <v>96</v>
      </c>
      <c r="G1" t="s">
        <v>97</v>
      </c>
      <c r="H1" t="s">
        <v>98</v>
      </c>
      <c r="I1" t="s">
        <v>99</v>
      </c>
      <c r="J1" t="s">
        <v>100</v>
      </c>
      <c r="K1" t="s">
        <v>101</v>
      </c>
      <c r="L1" t="s">
        <v>102</v>
      </c>
      <c r="M1" t="s">
        <v>103</v>
      </c>
      <c r="N1" t="s">
        <v>104</v>
      </c>
      <c r="O1" t="s">
        <v>455</v>
      </c>
    </row>
    <row r="2" spans="1:15">
      <c r="A2" s="243">
        <v>1</v>
      </c>
      <c r="B2" s="243" t="s">
        <v>61</v>
      </c>
      <c r="C2" s="243" t="s">
        <v>42</v>
      </c>
      <c r="D2" s="243" t="s">
        <v>456</v>
      </c>
      <c r="E2" s="243" t="s">
        <v>115</v>
      </c>
      <c r="F2" s="243" t="s">
        <v>116</v>
      </c>
      <c r="G2" s="243" t="s">
        <v>458</v>
      </c>
      <c r="H2" s="243" t="s">
        <v>108</v>
      </c>
      <c r="I2" s="243" t="s">
        <v>109</v>
      </c>
      <c r="J2" s="243" t="s">
        <v>459</v>
      </c>
      <c r="K2" s="243" t="s">
        <v>111</v>
      </c>
      <c r="L2" s="243" t="s">
        <v>112</v>
      </c>
      <c r="M2" s="243" t="s">
        <v>113</v>
      </c>
      <c r="N2" s="243" t="s">
        <v>114</v>
      </c>
      <c r="O2" s="243" t="s">
        <v>457</v>
      </c>
    </row>
    <row r="3" spans="1:15">
      <c r="A3" s="243"/>
      <c r="B3" s="243"/>
      <c r="C3" s="243"/>
      <c r="D3" s="243"/>
      <c r="E3" s="243"/>
      <c r="F3" s="243"/>
      <c r="G3" s="243"/>
      <c r="H3" s="243"/>
      <c r="I3" s="243"/>
      <c r="J3" s="243"/>
      <c r="K3" s="243"/>
      <c r="L3" s="243"/>
      <c r="M3" s="243"/>
      <c r="N3" s="243"/>
      <c r="O3" s="243"/>
    </row>
    <row r="4" spans="1:15">
      <c r="A4" s="243"/>
      <c r="B4" s="243"/>
      <c r="C4" s="243"/>
      <c r="D4" s="243"/>
      <c r="E4" s="243"/>
      <c r="F4" s="243"/>
      <c r="G4" s="243"/>
      <c r="H4" s="243"/>
      <c r="I4" s="243"/>
      <c r="J4" s="243"/>
      <c r="K4" s="243"/>
      <c r="L4" s="243"/>
      <c r="M4" s="243"/>
      <c r="N4" s="243"/>
      <c r="O4" s="243"/>
    </row>
    <row r="5" spans="1:15">
      <c r="A5" s="243"/>
      <c r="B5" s="243"/>
      <c r="C5" s="243"/>
      <c r="D5" s="243"/>
      <c r="E5" s="243"/>
      <c r="F5" s="243"/>
      <c r="G5" s="243"/>
      <c r="H5" s="243"/>
      <c r="I5" s="243"/>
      <c r="J5" s="243"/>
      <c r="K5" s="243"/>
      <c r="L5" s="243"/>
      <c r="M5" s="243"/>
      <c r="N5" s="243"/>
      <c r="O5" s="243"/>
    </row>
    <row r="6" spans="1:15">
      <c r="A6" s="243"/>
      <c r="B6" s="243"/>
      <c r="C6" s="243"/>
      <c r="D6" s="243"/>
      <c r="E6" s="243"/>
      <c r="F6" s="243"/>
      <c r="G6" s="243"/>
      <c r="H6" s="243"/>
      <c r="I6" s="243"/>
      <c r="J6" s="243"/>
      <c r="K6" s="243"/>
      <c r="L6" s="243"/>
      <c r="M6" s="243"/>
      <c r="N6" s="243"/>
      <c r="O6" s="243"/>
    </row>
    <row r="7" spans="1:15">
      <c r="A7" s="243"/>
      <c r="B7" s="243"/>
      <c r="C7" s="243"/>
      <c r="D7" s="243"/>
      <c r="E7" s="243"/>
      <c r="F7" s="243"/>
      <c r="G7" s="243"/>
      <c r="H7" s="243"/>
      <c r="I7" s="243"/>
      <c r="J7" s="243"/>
      <c r="K7" s="243"/>
      <c r="L7" s="243"/>
      <c r="M7" s="243"/>
      <c r="N7" s="243"/>
      <c r="O7" s="243"/>
    </row>
    <row r="8" spans="1:15">
      <c r="A8" s="243"/>
      <c r="B8" s="243"/>
      <c r="C8" s="243"/>
      <c r="D8" s="243"/>
      <c r="E8" s="243"/>
      <c r="F8" s="243"/>
      <c r="G8" s="243"/>
      <c r="H8" s="243"/>
      <c r="I8" s="243"/>
      <c r="J8" s="243"/>
      <c r="K8" s="243"/>
      <c r="L8" s="243"/>
      <c r="M8" s="243"/>
      <c r="N8" s="243"/>
      <c r="O8" s="243"/>
    </row>
    <row r="9" spans="1:15">
      <c r="A9" s="243"/>
      <c r="B9" s="243"/>
      <c r="C9" s="243"/>
      <c r="D9" s="243"/>
      <c r="E9" s="243"/>
      <c r="F9" s="243"/>
      <c r="G9" s="243"/>
      <c r="H9" s="243"/>
      <c r="I9" s="243"/>
      <c r="J9" s="243"/>
      <c r="K9" s="243"/>
      <c r="L9" s="243"/>
      <c r="M9" s="243"/>
      <c r="N9" s="243"/>
      <c r="O9" s="243"/>
    </row>
    <row r="10" spans="1:15">
      <c r="A10" s="243"/>
      <c r="B10" s="243"/>
      <c r="C10" s="243"/>
      <c r="D10" s="243"/>
      <c r="E10" s="243"/>
      <c r="F10" s="243"/>
      <c r="G10" s="243"/>
      <c r="H10" s="243"/>
      <c r="I10" s="243"/>
      <c r="J10" s="243"/>
      <c r="K10" s="243"/>
      <c r="L10" s="243"/>
      <c r="M10" s="243"/>
      <c r="N10" s="243"/>
      <c r="O10" s="243"/>
    </row>
    <row r="11" spans="1:15">
      <c r="A11" s="243"/>
      <c r="B11" s="243"/>
      <c r="C11" s="243"/>
      <c r="D11" s="243"/>
      <c r="E11" s="243"/>
      <c r="F11" s="243"/>
      <c r="G11" s="243"/>
      <c r="H11" s="243"/>
      <c r="I11" s="243"/>
      <c r="J11" s="243"/>
      <c r="K11" s="243"/>
      <c r="L11" s="243"/>
      <c r="M11" s="243"/>
      <c r="N11" s="243"/>
      <c r="O11" s="243"/>
    </row>
    <row r="12" spans="1:15">
      <c r="A12" s="243"/>
      <c r="B12" s="243"/>
      <c r="C12" s="243"/>
      <c r="D12" s="243"/>
      <c r="E12" s="243"/>
      <c r="F12" s="243"/>
      <c r="G12" s="243"/>
      <c r="H12" s="243"/>
      <c r="I12" s="243"/>
      <c r="J12" s="243"/>
      <c r="K12" s="243"/>
      <c r="L12" s="243"/>
      <c r="M12" s="243"/>
      <c r="N12" s="243"/>
      <c r="O12" s="243"/>
    </row>
    <row r="13" spans="1:15">
      <c r="A13" s="243"/>
      <c r="B13" s="243"/>
      <c r="C13" s="243"/>
      <c r="D13" s="243"/>
      <c r="E13" s="243"/>
      <c r="F13" s="243"/>
      <c r="G13" s="243"/>
      <c r="H13" s="243"/>
      <c r="I13" s="243"/>
      <c r="J13" s="243"/>
      <c r="K13" s="243"/>
      <c r="L13" s="243"/>
      <c r="M13" s="243"/>
      <c r="N13" s="243"/>
      <c r="O13" s="243"/>
    </row>
    <row r="14" spans="1:15">
      <c r="A14" s="243"/>
      <c r="B14" s="243"/>
      <c r="C14" s="243"/>
      <c r="D14" s="243"/>
      <c r="E14" s="243"/>
      <c r="F14" s="243"/>
      <c r="G14" s="243"/>
      <c r="H14" s="243"/>
      <c r="I14" s="243"/>
      <c r="J14" s="243"/>
      <c r="K14" s="243"/>
      <c r="L14" s="243"/>
      <c r="M14" s="243"/>
      <c r="N14" s="243"/>
      <c r="O14" s="243"/>
    </row>
    <row r="15" spans="1:15">
      <c r="A15" s="243"/>
      <c r="B15" s="243"/>
      <c r="C15" s="243"/>
      <c r="D15" s="243"/>
      <c r="E15" s="243"/>
      <c r="F15" s="243"/>
      <c r="G15" s="243"/>
      <c r="H15" s="243"/>
      <c r="I15" s="243"/>
      <c r="J15" s="243"/>
      <c r="K15" s="243"/>
      <c r="L15" s="243"/>
      <c r="M15" s="243"/>
      <c r="N15" s="243"/>
      <c r="O15" s="243"/>
    </row>
    <row r="16" spans="1:15">
      <c r="A16" s="243"/>
      <c r="B16" s="243"/>
      <c r="C16" s="243"/>
      <c r="D16" s="243"/>
      <c r="E16" s="243"/>
      <c r="F16" s="243"/>
      <c r="G16" s="243"/>
      <c r="H16" s="243"/>
      <c r="I16" s="243"/>
      <c r="J16" s="243"/>
      <c r="K16" s="243"/>
      <c r="L16" s="243"/>
      <c r="M16" s="243"/>
      <c r="N16" s="243"/>
      <c r="O16" s="243"/>
    </row>
    <row r="17" spans="1:15">
      <c r="A17" s="243"/>
      <c r="B17" s="243"/>
      <c r="C17" s="243"/>
      <c r="D17" s="243"/>
      <c r="E17" s="243"/>
      <c r="F17" s="243"/>
      <c r="G17" s="243"/>
      <c r="H17" s="243"/>
      <c r="I17" s="243"/>
      <c r="J17" s="243"/>
      <c r="K17" s="243"/>
      <c r="L17" s="243"/>
      <c r="M17" s="243"/>
      <c r="N17" s="243"/>
      <c r="O17" s="243"/>
    </row>
    <row r="18" spans="1:15">
      <c r="A18" s="243"/>
      <c r="B18" s="243"/>
      <c r="C18" s="243"/>
      <c r="D18" s="243"/>
      <c r="E18" s="243"/>
      <c r="F18" s="243"/>
      <c r="G18" s="243"/>
      <c r="H18" s="243"/>
      <c r="I18" s="243"/>
      <c r="J18" s="243"/>
      <c r="K18" s="243"/>
      <c r="L18" s="243"/>
      <c r="M18" s="243"/>
      <c r="N18" s="243"/>
      <c r="O18" s="243"/>
    </row>
    <row r="19" spans="1:15">
      <c r="A19" s="243"/>
      <c r="B19" s="243"/>
      <c r="C19" s="243"/>
      <c r="D19" s="243"/>
      <c r="E19" s="243"/>
      <c r="F19" s="243"/>
      <c r="G19" s="243"/>
      <c r="H19" s="243"/>
      <c r="I19" s="243"/>
      <c r="J19" s="243"/>
      <c r="K19" s="243"/>
      <c r="L19" s="243"/>
      <c r="M19" s="243"/>
      <c r="N19" s="243"/>
      <c r="O19" s="243"/>
    </row>
    <row r="20" spans="1:15">
      <c r="A20" s="243"/>
      <c r="B20" s="243"/>
      <c r="C20" s="243"/>
      <c r="D20" s="243"/>
      <c r="E20" s="243"/>
      <c r="F20" s="243"/>
      <c r="G20" s="243"/>
      <c r="H20" s="243"/>
      <c r="I20" s="243"/>
      <c r="J20" s="243"/>
      <c r="K20" s="243"/>
      <c r="L20" s="243"/>
      <c r="M20" s="243"/>
      <c r="N20" s="243"/>
      <c r="O20" s="243"/>
    </row>
    <row r="21" spans="1:15">
      <c r="A21" s="243"/>
      <c r="B21" s="243"/>
      <c r="C21" s="243"/>
      <c r="D21" s="243"/>
      <c r="E21" s="243"/>
      <c r="F21" s="243"/>
      <c r="G21" s="243"/>
      <c r="H21" s="243"/>
      <c r="I21" s="243"/>
      <c r="J21" s="243"/>
      <c r="K21" s="243"/>
      <c r="L21" s="243"/>
      <c r="M21" s="243"/>
      <c r="N21" s="243"/>
      <c r="O21" s="243"/>
    </row>
    <row r="22" spans="1:15">
      <c r="A22" s="243"/>
      <c r="B22" s="243"/>
      <c r="C22" s="243"/>
      <c r="D22" s="243"/>
      <c r="E22" s="243"/>
      <c r="F22" s="243"/>
      <c r="G22" s="243"/>
      <c r="H22" s="243"/>
      <c r="J22" s="243"/>
      <c r="K22" s="243"/>
      <c r="L22" s="243"/>
      <c r="M22" s="243"/>
      <c r="N22" s="243"/>
      <c r="O22" s="243"/>
    </row>
    <row r="23" spans="1:15">
      <c r="A23" s="243"/>
      <c r="B23" s="243"/>
      <c r="C23" s="243"/>
      <c r="D23" s="243"/>
      <c r="E23" s="243"/>
      <c r="F23" s="243"/>
      <c r="G23" s="243"/>
      <c r="H23" s="243"/>
      <c r="I23" s="243"/>
      <c r="J23" s="243"/>
      <c r="K23" s="243"/>
      <c r="L23" s="243"/>
      <c r="M23" s="243"/>
      <c r="N23" s="243"/>
      <c r="O23" s="243"/>
    </row>
    <row r="24" spans="1:15">
      <c r="A24" s="243"/>
      <c r="B24" s="243"/>
      <c r="C24" s="243"/>
      <c r="D24" s="243"/>
      <c r="E24" s="243"/>
      <c r="F24" s="243"/>
      <c r="G24" s="243"/>
      <c r="H24" s="243"/>
      <c r="I24" s="243"/>
      <c r="J24" s="243"/>
      <c r="K24" s="243"/>
      <c r="L24" s="243"/>
      <c r="M24" s="243"/>
      <c r="N24" s="243"/>
      <c r="O24" s="243"/>
    </row>
    <row r="25" spans="1:15">
      <c r="A25" s="243"/>
      <c r="B25" s="243"/>
      <c r="C25" s="243"/>
      <c r="D25" s="243"/>
      <c r="E25" s="243"/>
      <c r="F25" s="243"/>
      <c r="G25" s="243"/>
      <c r="H25" s="243"/>
      <c r="I25" s="243"/>
      <c r="J25" s="243"/>
      <c r="K25" s="243"/>
      <c r="L25" s="243"/>
      <c r="M25" s="243"/>
      <c r="N25" s="243"/>
      <c r="O25" s="243"/>
    </row>
    <row r="26" spans="1:15">
      <c r="A26" s="243"/>
      <c r="B26" s="243"/>
      <c r="C26" s="243"/>
      <c r="D26" s="243"/>
      <c r="E26" s="243"/>
      <c r="F26" s="243"/>
      <c r="G26" s="243"/>
      <c r="H26" s="243"/>
      <c r="J26" s="243"/>
      <c r="K26" s="243"/>
      <c r="L26" s="243"/>
      <c r="M26" s="243"/>
      <c r="N26" s="243"/>
      <c r="O26" s="243"/>
    </row>
    <row r="27" spans="1:15">
      <c r="A27" s="243"/>
      <c r="B27" s="243"/>
      <c r="C27" s="243"/>
      <c r="D27" s="243"/>
      <c r="E27" s="243"/>
      <c r="F27" s="243"/>
      <c r="G27" s="243"/>
      <c r="H27" s="243"/>
      <c r="I27" s="243"/>
      <c r="J27" s="243"/>
      <c r="K27" s="243"/>
      <c r="L27" s="243"/>
      <c r="M27" s="243"/>
      <c r="N27" s="243"/>
      <c r="O27" s="243"/>
    </row>
    <row r="28" spans="1:15">
      <c r="A28" s="243"/>
      <c r="B28" s="243"/>
      <c r="C28" s="243"/>
      <c r="D28" s="243"/>
      <c r="E28" s="243"/>
      <c r="F28" s="243"/>
      <c r="G28" s="243"/>
      <c r="H28" s="243"/>
      <c r="I28" s="243"/>
      <c r="J28" s="243"/>
      <c r="K28" s="243"/>
      <c r="L28" s="243"/>
      <c r="M28" s="243"/>
      <c r="N28" s="243"/>
      <c r="O28" s="243"/>
    </row>
    <row r="29" spans="1:15">
      <c r="A29" s="243"/>
      <c r="B29" s="243"/>
      <c r="C29" s="243"/>
      <c r="D29" s="243"/>
      <c r="E29" s="243"/>
      <c r="F29" s="243"/>
      <c r="G29" s="243"/>
      <c r="H29" s="243"/>
      <c r="I29" s="243"/>
      <c r="J29" s="243"/>
      <c r="K29" s="243"/>
      <c r="L29" s="243"/>
      <c r="M29" s="243"/>
      <c r="N29" s="243"/>
      <c r="O29" s="243"/>
    </row>
    <row r="30" spans="1:15">
      <c r="A30" s="243"/>
      <c r="B30" s="243"/>
      <c r="C30" s="243"/>
      <c r="D30" s="243"/>
      <c r="E30" s="243"/>
      <c r="F30" s="243"/>
      <c r="G30" s="243"/>
      <c r="H30" s="243"/>
      <c r="J30" s="243"/>
      <c r="K30" s="243"/>
      <c r="L30" s="243"/>
      <c r="M30" s="243"/>
      <c r="N30" s="243"/>
      <c r="O30" s="243"/>
    </row>
    <row r="31" spans="1:15">
      <c r="A31" s="243"/>
      <c r="B31" s="243"/>
      <c r="C31" s="243"/>
      <c r="D31" s="243"/>
      <c r="E31" s="243"/>
      <c r="F31" s="243"/>
      <c r="G31" s="243"/>
      <c r="H31" s="243"/>
      <c r="I31" s="243"/>
      <c r="J31" s="243"/>
      <c r="K31" s="243"/>
      <c r="L31" s="243"/>
      <c r="M31" s="243"/>
      <c r="N31" s="243"/>
      <c r="O31" s="243"/>
    </row>
    <row r="32" spans="1:15">
      <c r="A32" s="243"/>
      <c r="B32" s="243"/>
      <c r="C32" s="243"/>
      <c r="D32" s="243"/>
      <c r="E32" s="243"/>
      <c r="F32" s="243"/>
      <c r="G32" s="243"/>
      <c r="H32" s="243"/>
      <c r="I32" s="243"/>
      <c r="J32" s="243"/>
      <c r="K32" s="243"/>
      <c r="L32" s="243"/>
      <c r="M32" s="243"/>
      <c r="N32" s="243"/>
      <c r="O32" s="243"/>
    </row>
    <row r="33" spans="1:15">
      <c r="A33" s="243"/>
      <c r="B33" s="243"/>
      <c r="C33" s="243"/>
      <c r="D33" s="243"/>
      <c r="E33" s="243"/>
      <c r="F33" s="243"/>
      <c r="G33" s="243"/>
      <c r="H33" s="243"/>
      <c r="J33" s="243"/>
      <c r="K33" s="243"/>
      <c r="L33" s="243"/>
      <c r="M33" s="243"/>
      <c r="N33" s="243"/>
      <c r="O33" s="243"/>
    </row>
    <row r="34" spans="1:15">
      <c r="A34" s="243"/>
      <c r="B34" s="243"/>
      <c r="C34" s="243"/>
      <c r="D34" s="243"/>
      <c r="E34" s="243"/>
      <c r="F34" s="243"/>
      <c r="G34" s="243"/>
      <c r="H34" s="243"/>
      <c r="I34" s="243"/>
      <c r="J34" s="243"/>
      <c r="K34" s="243"/>
      <c r="L34" s="243"/>
      <c r="M34" s="243"/>
      <c r="N34" s="243"/>
      <c r="O34" s="243"/>
    </row>
    <row r="35" spans="1:15">
      <c r="A35" s="243"/>
      <c r="B35" s="243"/>
      <c r="C35" s="243"/>
      <c r="D35" s="243"/>
      <c r="E35" s="243"/>
      <c r="F35" s="243"/>
      <c r="G35" s="243"/>
      <c r="H35" s="243"/>
      <c r="I35" s="243"/>
      <c r="J35" s="243"/>
      <c r="K35" s="243"/>
      <c r="L35" s="243"/>
      <c r="M35" s="243"/>
      <c r="N35" s="243"/>
      <c r="O35" s="243"/>
    </row>
    <row r="36" spans="1:15">
      <c r="A36" s="243"/>
      <c r="B36" s="243"/>
      <c r="C36" s="243"/>
      <c r="D36" s="243"/>
      <c r="E36" s="243"/>
      <c r="F36" s="243"/>
      <c r="G36" s="243"/>
      <c r="H36" s="243"/>
      <c r="I36" s="243"/>
      <c r="J36" s="243"/>
      <c r="K36" s="243"/>
      <c r="L36" s="243"/>
      <c r="M36" s="243"/>
      <c r="N36" s="243"/>
      <c r="O36" s="243"/>
    </row>
    <row r="37" spans="1:15">
      <c r="A37" s="243"/>
      <c r="B37" s="243"/>
      <c r="C37" s="243"/>
      <c r="D37" s="243"/>
      <c r="E37" s="243"/>
      <c r="F37" s="243"/>
      <c r="G37" s="243"/>
      <c r="H37" s="243"/>
      <c r="I37" s="243"/>
      <c r="J37" s="243"/>
      <c r="K37" s="243"/>
      <c r="L37" s="243"/>
      <c r="M37" s="243"/>
      <c r="N37" s="243"/>
      <c r="O37" s="243"/>
    </row>
    <row r="38" spans="1:15">
      <c r="A38" s="243"/>
      <c r="B38" s="243"/>
      <c r="C38" s="243"/>
      <c r="D38" s="243"/>
      <c r="E38" s="243"/>
      <c r="F38" s="243"/>
      <c r="G38" s="243"/>
      <c r="H38" s="243"/>
      <c r="I38" s="243"/>
      <c r="J38" s="243"/>
      <c r="K38" s="243"/>
      <c r="L38" s="243"/>
      <c r="M38" s="243"/>
      <c r="N38" s="243"/>
      <c r="O38" s="243"/>
    </row>
    <row r="39" spans="1:15">
      <c r="A39" s="243"/>
      <c r="B39" s="243"/>
      <c r="C39" s="243"/>
      <c r="D39" s="243"/>
      <c r="E39" s="243"/>
      <c r="F39" s="243"/>
      <c r="G39" s="243"/>
      <c r="H39" s="243"/>
      <c r="J39" s="243"/>
      <c r="K39" s="243"/>
      <c r="L39" s="243"/>
      <c r="M39" s="243"/>
      <c r="N39" s="243"/>
      <c r="O39" s="243"/>
    </row>
    <row r="40" spans="1:15">
      <c r="A40" s="243"/>
      <c r="B40" s="243"/>
      <c r="C40" s="243"/>
      <c r="D40" s="243"/>
      <c r="E40" s="243"/>
      <c r="F40" s="243"/>
      <c r="G40" s="243"/>
      <c r="H40" s="243"/>
      <c r="I40" s="243"/>
      <c r="J40" s="243"/>
      <c r="K40" s="243"/>
      <c r="L40" s="243"/>
      <c r="M40" s="243"/>
      <c r="N40" s="243"/>
      <c r="O40" s="243"/>
    </row>
    <row r="41" spans="1:15">
      <c r="A41" s="243"/>
      <c r="B41" s="243"/>
      <c r="C41" s="243"/>
      <c r="D41" s="243"/>
      <c r="E41" s="243"/>
      <c r="F41" s="243"/>
      <c r="G41" s="243"/>
      <c r="H41" s="243"/>
      <c r="I41" s="243"/>
      <c r="J41" s="243"/>
      <c r="K41" s="243"/>
      <c r="L41" s="243"/>
      <c r="M41" s="243"/>
      <c r="N41" s="243"/>
      <c r="O41" s="243"/>
    </row>
    <row r="42" spans="1:15">
      <c r="A42" s="243"/>
      <c r="B42" s="243"/>
      <c r="C42" s="243"/>
      <c r="D42" s="243"/>
      <c r="E42" s="243"/>
      <c r="F42" s="243"/>
      <c r="G42" s="243"/>
      <c r="H42" s="243"/>
      <c r="I42" s="243"/>
      <c r="J42" s="243"/>
      <c r="K42" s="243"/>
      <c r="L42" s="243"/>
      <c r="M42" s="243"/>
      <c r="N42" s="243"/>
      <c r="O42" s="243"/>
    </row>
    <row r="43" spans="1:15">
      <c r="A43" s="243"/>
      <c r="B43" s="243"/>
      <c r="C43" s="243"/>
      <c r="D43" s="243"/>
      <c r="E43" s="243"/>
      <c r="F43" s="243"/>
      <c r="G43" s="243"/>
      <c r="H43" s="243"/>
      <c r="J43" s="243"/>
      <c r="K43" s="243"/>
      <c r="L43" s="243"/>
      <c r="M43" s="243"/>
      <c r="N43" s="243"/>
      <c r="O43" s="243"/>
    </row>
    <row r="44" spans="1:15">
      <c r="A44" s="243"/>
      <c r="B44" s="243"/>
      <c r="C44" s="243"/>
      <c r="D44" s="243"/>
      <c r="E44" s="243"/>
      <c r="F44" s="243"/>
      <c r="G44" s="243"/>
      <c r="H44" s="243"/>
      <c r="I44" s="243"/>
      <c r="J44" s="243"/>
      <c r="K44" s="243"/>
      <c r="L44" s="243"/>
      <c r="M44" s="243"/>
      <c r="N44" s="243"/>
      <c r="O44" s="243"/>
    </row>
    <row r="45" spans="1:15">
      <c r="A45" s="243"/>
      <c r="B45" s="243"/>
      <c r="C45" s="243"/>
      <c r="D45" s="243"/>
      <c r="E45" s="243"/>
      <c r="F45" s="243"/>
      <c r="G45" s="243"/>
      <c r="H45" s="243"/>
      <c r="I45" s="243"/>
      <c r="J45" s="243"/>
      <c r="K45" s="243"/>
      <c r="L45" s="243"/>
      <c r="M45" s="243"/>
      <c r="N45" s="243"/>
      <c r="O45" s="243"/>
    </row>
    <row r="46" spans="1:15">
      <c r="A46" s="243"/>
      <c r="B46" s="243"/>
      <c r="C46" s="243"/>
      <c r="D46" s="243"/>
      <c r="E46" s="243"/>
      <c r="F46" s="243"/>
      <c r="G46" s="243"/>
      <c r="H46" s="243"/>
      <c r="I46" s="243"/>
      <c r="J46" s="243"/>
      <c r="K46" s="243"/>
      <c r="L46" s="243"/>
      <c r="M46" s="243"/>
      <c r="N46" s="243"/>
      <c r="O46" s="243"/>
    </row>
    <row r="47" spans="1:15">
      <c r="A47" s="243"/>
      <c r="B47" s="243"/>
      <c r="C47" s="243"/>
      <c r="D47" s="243"/>
      <c r="E47" s="243"/>
      <c r="F47" s="243"/>
      <c r="G47" s="243"/>
      <c r="H47" s="243"/>
      <c r="I47" s="243"/>
      <c r="J47" s="243"/>
      <c r="K47" s="243"/>
      <c r="L47" s="243"/>
      <c r="M47" s="243"/>
      <c r="N47" s="243"/>
      <c r="O47" s="243"/>
    </row>
    <row r="48" spans="1:15">
      <c r="A48" s="243"/>
      <c r="B48" s="243"/>
      <c r="C48" s="243"/>
      <c r="D48" s="243"/>
      <c r="E48" s="243"/>
      <c r="F48" s="243"/>
      <c r="G48" s="243"/>
      <c r="H48" s="243"/>
      <c r="I48" s="243"/>
      <c r="J48" s="243"/>
      <c r="K48" s="243"/>
      <c r="L48" s="243"/>
      <c r="M48" s="243"/>
      <c r="N48" s="243"/>
      <c r="O48" s="243"/>
    </row>
    <row r="49" spans="1:15">
      <c r="A49" s="243"/>
      <c r="B49" s="243"/>
      <c r="C49" s="243"/>
      <c r="D49" s="243"/>
      <c r="E49" s="243"/>
      <c r="F49" s="243"/>
      <c r="G49" s="243"/>
      <c r="H49" s="243"/>
      <c r="I49" s="243"/>
      <c r="J49" s="243"/>
      <c r="K49" s="243"/>
      <c r="L49" s="243"/>
      <c r="M49" s="243"/>
      <c r="N49" s="243"/>
      <c r="O49" s="243"/>
    </row>
    <row r="50" spans="1:15">
      <c r="A50" s="243"/>
      <c r="B50" s="243"/>
      <c r="C50" s="243"/>
      <c r="D50" s="243"/>
      <c r="E50" s="243"/>
      <c r="F50" s="243"/>
      <c r="G50" s="243"/>
      <c r="H50" s="243"/>
      <c r="I50" s="243"/>
      <c r="J50" s="243"/>
      <c r="K50" s="243"/>
      <c r="L50" s="243"/>
      <c r="M50" s="243"/>
      <c r="N50" s="243"/>
      <c r="O50" s="243"/>
    </row>
    <row r="51" spans="1:15">
      <c r="A51" s="243"/>
      <c r="B51" s="243"/>
      <c r="C51" s="243"/>
      <c r="D51" s="243"/>
      <c r="E51" s="243"/>
      <c r="F51" s="243"/>
      <c r="G51" s="243"/>
      <c r="H51" s="243"/>
      <c r="I51" s="243"/>
      <c r="J51" s="243"/>
      <c r="K51" s="243"/>
      <c r="L51" s="243"/>
      <c r="M51" s="243"/>
      <c r="N51" s="243"/>
      <c r="O51" s="243"/>
    </row>
    <row r="52" spans="1:15">
      <c r="A52" s="243"/>
      <c r="B52" s="243"/>
      <c r="C52" s="243"/>
      <c r="D52" s="243"/>
      <c r="E52" s="243"/>
      <c r="F52" s="243"/>
      <c r="G52" s="243"/>
      <c r="H52" s="243"/>
      <c r="I52" s="243"/>
      <c r="J52" s="243"/>
      <c r="K52" s="243"/>
      <c r="L52" s="243"/>
      <c r="M52" s="243"/>
      <c r="N52" s="243"/>
      <c r="O52" s="243"/>
    </row>
    <row r="53" spans="1:15">
      <c r="A53" s="243"/>
      <c r="B53" s="243"/>
      <c r="C53" s="243"/>
      <c r="D53" s="243"/>
      <c r="E53" s="243"/>
      <c r="F53" s="243"/>
      <c r="G53" s="243"/>
      <c r="H53" s="243"/>
      <c r="J53" s="243"/>
      <c r="K53" s="243"/>
      <c r="L53" s="243"/>
      <c r="M53" s="243"/>
      <c r="N53" s="243"/>
      <c r="O53" s="243"/>
    </row>
    <row r="54" spans="1:15">
      <c r="A54" s="243"/>
      <c r="B54" s="243"/>
      <c r="C54" s="243"/>
      <c r="D54" s="243"/>
      <c r="E54" s="243"/>
      <c r="F54" s="243"/>
      <c r="G54" s="243"/>
      <c r="H54" s="243"/>
      <c r="I54" s="243"/>
      <c r="J54" s="243"/>
      <c r="K54" s="243"/>
      <c r="L54" s="243"/>
      <c r="M54" s="243"/>
      <c r="N54" s="243"/>
      <c r="O54" s="243"/>
    </row>
    <row r="55" spans="1:15">
      <c r="A55" s="243"/>
      <c r="B55" s="243"/>
      <c r="C55" s="243"/>
      <c r="D55" s="243"/>
      <c r="E55" s="243"/>
      <c r="F55" s="243"/>
      <c r="G55" s="243"/>
      <c r="H55" s="243"/>
      <c r="J55" s="243"/>
      <c r="K55" s="243"/>
      <c r="L55" s="243"/>
      <c r="M55" s="243"/>
      <c r="N55" s="243"/>
      <c r="O55" s="243"/>
    </row>
    <row r="56" spans="1:15">
      <c r="A56" s="243"/>
      <c r="B56" s="243"/>
      <c r="C56" s="243"/>
      <c r="D56" s="243"/>
      <c r="E56" s="243"/>
      <c r="F56" s="243"/>
      <c r="G56" s="243"/>
      <c r="H56" s="243"/>
      <c r="I56" s="243"/>
      <c r="J56" s="243"/>
      <c r="K56" s="243"/>
      <c r="L56" s="243"/>
      <c r="M56" s="243"/>
      <c r="N56" s="243"/>
      <c r="O56" s="243"/>
    </row>
    <row r="57" spans="1:15">
      <c r="A57" s="243"/>
      <c r="B57" s="243"/>
      <c r="C57" s="243"/>
      <c r="D57" s="243"/>
      <c r="E57" s="243"/>
      <c r="F57" s="243"/>
      <c r="G57" s="243"/>
      <c r="H57" s="243"/>
      <c r="I57" s="243"/>
      <c r="J57" s="243"/>
      <c r="K57" s="243"/>
      <c r="L57" s="243"/>
      <c r="M57" s="243"/>
      <c r="N57" s="243"/>
      <c r="O57" s="243"/>
    </row>
    <row r="58" spans="1:15">
      <c r="A58" s="243"/>
      <c r="B58" s="243"/>
      <c r="C58" s="243"/>
      <c r="D58" s="243"/>
      <c r="E58" s="243"/>
      <c r="F58" s="243"/>
      <c r="G58" s="243"/>
      <c r="H58" s="243"/>
      <c r="I58" s="243"/>
      <c r="J58" s="243"/>
      <c r="K58" s="243"/>
      <c r="L58" s="243"/>
      <c r="M58" s="243"/>
      <c r="N58" s="243"/>
      <c r="O58" s="243"/>
    </row>
    <row r="59" spans="1:15">
      <c r="A59" s="243"/>
      <c r="B59" s="243"/>
      <c r="C59" s="243"/>
      <c r="D59" s="243"/>
      <c r="E59" s="243"/>
      <c r="F59" s="243"/>
      <c r="G59" s="243"/>
      <c r="H59" s="243"/>
      <c r="I59" s="243"/>
      <c r="J59" s="243"/>
      <c r="K59" s="243"/>
      <c r="L59" s="243"/>
      <c r="M59" s="243"/>
      <c r="N59" s="243"/>
      <c r="O59" s="243"/>
    </row>
    <row r="60" spans="1:15">
      <c r="A60" s="243"/>
      <c r="B60" s="243"/>
      <c r="C60" s="243"/>
      <c r="D60" s="243"/>
      <c r="E60" s="243"/>
      <c r="F60" s="243"/>
      <c r="G60" s="243"/>
      <c r="H60" s="243"/>
      <c r="I60" s="243"/>
      <c r="J60" s="243"/>
      <c r="K60" s="243"/>
      <c r="L60" s="243"/>
      <c r="M60" s="243"/>
      <c r="N60" s="243"/>
      <c r="O60" s="243"/>
    </row>
    <row r="61" spans="1:15">
      <c r="A61" s="243"/>
      <c r="B61" s="243"/>
      <c r="C61" s="243"/>
      <c r="D61" s="243"/>
      <c r="E61" s="243"/>
      <c r="F61" s="243"/>
      <c r="G61" s="243"/>
      <c r="H61" s="243"/>
      <c r="I61" s="243"/>
      <c r="J61" s="243"/>
      <c r="K61" s="243"/>
      <c r="L61" s="243"/>
      <c r="M61" s="243"/>
      <c r="N61" s="243"/>
      <c r="O61" s="243"/>
    </row>
    <row r="62" spans="1:15">
      <c r="A62" s="243"/>
      <c r="B62" s="243"/>
      <c r="C62" s="243"/>
      <c r="D62" s="243"/>
      <c r="E62" s="243"/>
      <c r="F62" s="243"/>
      <c r="G62" s="243"/>
      <c r="H62" s="243"/>
      <c r="I62" s="243"/>
      <c r="J62" s="243"/>
      <c r="K62" s="243"/>
      <c r="L62" s="243"/>
      <c r="M62" s="243"/>
      <c r="N62" s="243"/>
      <c r="O62" s="243"/>
    </row>
    <row r="63" spans="1:15">
      <c r="A63" s="243"/>
      <c r="B63" s="243"/>
      <c r="C63" s="243"/>
      <c r="D63" s="243"/>
      <c r="E63" s="243"/>
      <c r="F63" s="243"/>
      <c r="G63" s="243"/>
      <c r="H63" s="243"/>
      <c r="I63" s="243"/>
      <c r="J63" s="243"/>
      <c r="K63" s="243"/>
      <c r="L63" s="243"/>
      <c r="M63" s="243"/>
      <c r="N63" s="243"/>
      <c r="O63" s="243"/>
    </row>
    <row r="64" spans="1:15">
      <c r="A64" s="243"/>
      <c r="B64" s="243"/>
      <c r="C64" s="243"/>
      <c r="D64" s="243"/>
      <c r="E64" s="243"/>
      <c r="F64" s="243"/>
      <c r="G64" s="243"/>
      <c r="H64" s="243"/>
      <c r="I64" s="243"/>
      <c r="J64" s="243"/>
      <c r="K64" s="243"/>
      <c r="L64" s="243"/>
      <c r="M64" s="243"/>
      <c r="N64" s="243"/>
      <c r="O64" s="243"/>
    </row>
    <row r="65" spans="1:15">
      <c r="A65" s="243"/>
      <c r="B65" s="243"/>
      <c r="C65" s="243"/>
      <c r="D65" s="243"/>
      <c r="E65" s="243"/>
      <c r="F65" s="243"/>
      <c r="G65" s="243"/>
      <c r="H65" s="243"/>
      <c r="I65" s="243"/>
      <c r="J65" s="243"/>
      <c r="K65" s="243"/>
      <c r="L65" s="243"/>
      <c r="M65" s="243"/>
      <c r="N65" s="243"/>
      <c r="O65" s="243"/>
    </row>
    <row r="66" spans="1:15">
      <c r="A66" s="243"/>
      <c r="B66" s="243"/>
      <c r="C66" s="243"/>
      <c r="D66" s="243"/>
      <c r="E66" s="243"/>
      <c r="F66" s="243"/>
      <c r="G66" s="243"/>
      <c r="H66" s="243"/>
      <c r="I66" s="243"/>
      <c r="J66" s="243"/>
      <c r="K66" s="243"/>
      <c r="L66" s="243"/>
      <c r="M66" s="243"/>
      <c r="N66" s="243"/>
      <c r="O66" s="243"/>
    </row>
    <row r="67" spans="1:15">
      <c r="A67" s="243"/>
      <c r="B67" s="243"/>
      <c r="C67" s="243"/>
      <c r="D67" s="243"/>
      <c r="E67" s="243"/>
      <c r="F67" s="243"/>
      <c r="G67" s="243"/>
      <c r="H67" s="243"/>
      <c r="I67" s="243"/>
      <c r="J67" s="243"/>
      <c r="K67" s="243"/>
      <c r="L67" s="243"/>
      <c r="M67" s="243"/>
      <c r="N67" s="243"/>
      <c r="O67" s="243"/>
    </row>
    <row r="68" spans="1:15">
      <c r="A68" s="243"/>
      <c r="B68" s="243"/>
      <c r="C68" s="243"/>
      <c r="D68" s="243"/>
      <c r="E68" s="243"/>
      <c r="F68" s="243"/>
      <c r="G68" s="243"/>
      <c r="H68" s="243"/>
      <c r="I68" s="243"/>
      <c r="J68" s="243"/>
      <c r="K68" s="243"/>
      <c r="L68" s="243"/>
      <c r="M68" s="243"/>
      <c r="N68" s="243"/>
      <c r="O68" s="243"/>
    </row>
    <row r="69" spans="1:15">
      <c r="A69" s="243"/>
      <c r="B69" s="243"/>
      <c r="C69" s="243"/>
      <c r="D69" s="243"/>
      <c r="E69" s="243"/>
      <c r="F69" s="243"/>
      <c r="G69" s="243"/>
      <c r="H69" s="243"/>
      <c r="I69" s="243"/>
      <c r="J69" s="243"/>
      <c r="K69" s="243"/>
      <c r="L69" s="243"/>
      <c r="M69" s="243"/>
      <c r="N69" s="243"/>
      <c r="O69" s="243"/>
    </row>
    <row r="70" spans="1:15">
      <c r="A70" s="243"/>
      <c r="B70" s="243"/>
      <c r="C70" s="243"/>
      <c r="D70" s="243"/>
      <c r="E70" s="243"/>
      <c r="F70" s="243"/>
      <c r="G70" s="243"/>
      <c r="H70" s="243"/>
      <c r="I70" s="243"/>
      <c r="J70" s="243"/>
      <c r="K70" s="243"/>
      <c r="L70" s="243"/>
      <c r="M70" s="243"/>
      <c r="N70" s="243"/>
      <c r="O70" s="243"/>
    </row>
    <row r="71" spans="1:15">
      <c r="A71" s="243"/>
      <c r="B71" s="243"/>
      <c r="C71" s="243"/>
      <c r="D71" s="243"/>
      <c r="E71" s="243"/>
      <c r="F71" s="243"/>
      <c r="G71" s="243"/>
      <c r="H71" s="243"/>
      <c r="I71" s="243"/>
      <c r="J71" s="243"/>
      <c r="K71" s="243"/>
      <c r="L71" s="243"/>
      <c r="M71" s="243"/>
      <c r="N71" s="243"/>
      <c r="O71" s="243"/>
    </row>
    <row r="72" spans="1:15">
      <c r="A72" s="243"/>
      <c r="B72" s="243"/>
      <c r="C72" s="243"/>
      <c r="D72" s="243"/>
      <c r="E72" s="243"/>
      <c r="F72" s="243"/>
      <c r="G72" s="243"/>
      <c r="H72" s="243"/>
      <c r="I72" s="243"/>
      <c r="J72" s="243"/>
      <c r="K72" s="243"/>
      <c r="L72" s="243"/>
      <c r="M72" s="243"/>
      <c r="N72" s="243"/>
      <c r="O72" s="243"/>
    </row>
    <row r="73" spans="1:15">
      <c r="A73" s="243"/>
      <c r="B73" s="243"/>
      <c r="C73" s="243"/>
      <c r="D73" s="243"/>
      <c r="E73" s="243"/>
      <c r="F73" s="243"/>
      <c r="G73" s="243"/>
      <c r="H73" s="243"/>
      <c r="I73" s="243"/>
      <c r="J73" s="243"/>
      <c r="K73" s="243"/>
      <c r="L73" s="243"/>
      <c r="M73" s="243"/>
      <c r="N73" s="243"/>
      <c r="O73" s="243"/>
    </row>
    <row r="74" spans="1:15">
      <c r="A74" s="243"/>
      <c r="B74" s="243"/>
      <c r="C74" s="243"/>
      <c r="D74" s="243"/>
      <c r="E74" s="243"/>
      <c r="F74" s="243"/>
      <c r="G74" s="243"/>
      <c r="H74" s="243"/>
      <c r="I74" s="243"/>
      <c r="J74" s="243"/>
      <c r="K74" s="243"/>
      <c r="L74" s="243"/>
      <c r="M74" s="243"/>
      <c r="N74" s="243"/>
      <c r="O74" s="243"/>
    </row>
    <row r="75" spans="1:15">
      <c r="A75" s="243"/>
      <c r="B75" s="243"/>
      <c r="C75" s="243"/>
      <c r="D75" s="243"/>
      <c r="E75" s="243"/>
      <c r="F75" s="243"/>
      <c r="G75" s="243"/>
      <c r="H75" s="243"/>
      <c r="I75" s="243"/>
      <c r="J75" s="243"/>
      <c r="K75" s="243"/>
      <c r="L75" s="243"/>
      <c r="M75" s="243"/>
      <c r="N75" s="243"/>
      <c r="O75" s="243"/>
    </row>
    <row r="76" spans="1:15">
      <c r="A76" s="243"/>
      <c r="B76" s="243"/>
      <c r="C76" s="243"/>
      <c r="D76" s="243"/>
      <c r="E76" s="243"/>
      <c r="F76" s="243"/>
      <c r="G76" s="243"/>
      <c r="H76" s="243"/>
      <c r="I76" s="243"/>
      <c r="J76" s="243"/>
      <c r="K76" s="243"/>
      <c r="L76" s="243"/>
      <c r="M76" s="243"/>
      <c r="N76" s="243"/>
      <c r="O76" s="243"/>
    </row>
    <row r="77" spans="1:15">
      <c r="A77" s="243"/>
      <c r="B77" s="243"/>
      <c r="C77" s="243"/>
      <c r="D77" s="243"/>
      <c r="E77" s="243"/>
      <c r="F77" s="243"/>
      <c r="G77" s="243"/>
      <c r="H77" s="243"/>
      <c r="I77" s="243"/>
      <c r="J77" s="243"/>
      <c r="K77" s="243"/>
      <c r="L77" s="243"/>
      <c r="M77" s="243"/>
      <c r="N77" s="243"/>
      <c r="O77" s="243"/>
    </row>
    <row r="78" spans="1:15">
      <c r="A78" s="243"/>
      <c r="B78" s="243"/>
      <c r="C78" s="243"/>
      <c r="D78" s="243"/>
      <c r="E78" s="243"/>
      <c r="F78" s="243"/>
      <c r="G78" s="243"/>
      <c r="H78" s="243"/>
      <c r="I78" s="243"/>
      <c r="J78" s="243"/>
      <c r="K78" s="243"/>
      <c r="L78" s="243"/>
      <c r="M78" s="243"/>
      <c r="N78" s="243"/>
      <c r="O78" s="243"/>
    </row>
    <row r="79" spans="1:15">
      <c r="A79" s="243"/>
      <c r="B79" s="243"/>
      <c r="C79" s="243"/>
      <c r="D79" s="243"/>
      <c r="E79" s="243"/>
      <c r="F79" s="243"/>
      <c r="G79" s="243"/>
      <c r="H79" s="243"/>
      <c r="I79" s="243"/>
      <c r="J79" s="243"/>
      <c r="K79" s="243"/>
      <c r="L79" s="243"/>
      <c r="M79" s="243"/>
      <c r="N79" s="243"/>
      <c r="O79" s="243"/>
    </row>
    <row r="80" spans="1:15">
      <c r="A80" s="243"/>
      <c r="B80" s="243"/>
      <c r="C80" s="243"/>
      <c r="D80" s="243"/>
      <c r="E80" s="243"/>
      <c r="F80" s="243"/>
      <c r="G80" s="243"/>
      <c r="H80" s="243"/>
      <c r="I80" s="243"/>
      <c r="J80" s="243"/>
      <c r="K80" s="243"/>
      <c r="L80" s="243"/>
      <c r="M80" s="243"/>
      <c r="N80" s="243"/>
      <c r="O80" s="243"/>
    </row>
    <row r="81" spans="1:15">
      <c r="A81" s="243"/>
      <c r="B81" s="243"/>
      <c r="C81" s="243"/>
      <c r="D81" s="243"/>
      <c r="E81" s="243"/>
      <c r="F81" s="243"/>
      <c r="G81" s="243"/>
      <c r="H81" s="243"/>
      <c r="J81" s="243"/>
      <c r="K81" s="243"/>
      <c r="L81" s="243"/>
      <c r="M81" s="243"/>
      <c r="N81" s="243"/>
      <c r="O81" s="243"/>
    </row>
    <row r="82" spans="1:15">
      <c r="A82" s="243"/>
      <c r="B82" s="243"/>
      <c r="C82" s="243"/>
      <c r="D82" s="243"/>
      <c r="E82" s="243"/>
      <c r="F82" s="243"/>
      <c r="G82" s="243"/>
      <c r="H82" s="243"/>
      <c r="I82" s="243"/>
      <c r="J82" s="243"/>
      <c r="K82" s="243"/>
      <c r="L82" s="243"/>
      <c r="M82" s="243"/>
      <c r="N82" s="243"/>
      <c r="O82" s="243"/>
    </row>
    <row r="83" spans="1:15">
      <c r="A83" s="243"/>
      <c r="B83" s="243"/>
      <c r="C83" s="243"/>
      <c r="D83" s="243"/>
      <c r="E83" s="243"/>
      <c r="F83" s="243"/>
      <c r="G83" s="243"/>
      <c r="H83" s="243"/>
      <c r="I83" s="243"/>
      <c r="J83" s="243"/>
      <c r="K83" s="243"/>
      <c r="L83" s="243"/>
      <c r="M83" s="243"/>
      <c r="N83" s="243"/>
      <c r="O83" s="243"/>
    </row>
    <row r="84" spans="1:15">
      <c r="A84" s="243"/>
      <c r="B84" s="243"/>
      <c r="C84" s="243"/>
      <c r="D84" s="243"/>
      <c r="E84" s="243"/>
      <c r="F84" s="243"/>
      <c r="G84" s="243"/>
      <c r="H84" s="243"/>
      <c r="I84" s="243"/>
      <c r="J84" s="243"/>
      <c r="K84" s="243"/>
      <c r="L84" s="243"/>
      <c r="M84" s="243"/>
      <c r="N84" s="243"/>
      <c r="O84" s="243"/>
    </row>
    <row r="85" spans="1:15">
      <c r="A85" s="243"/>
      <c r="B85" s="243"/>
      <c r="C85" s="243"/>
      <c r="D85" s="243"/>
      <c r="E85" s="243"/>
      <c r="F85" s="243"/>
      <c r="G85" s="243"/>
      <c r="H85" s="243"/>
      <c r="I85" s="243"/>
      <c r="J85" s="243"/>
      <c r="K85" s="243"/>
      <c r="L85" s="243"/>
      <c r="M85" s="243"/>
      <c r="N85" s="243"/>
      <c r="O85" s="243"/>
    </row>
    <row r="86" spans="1:15">
      <c r="A86" s="243"/>
      <c r="B86" s="243"/>
      <c r="C86" s="243"/>
      <c r="D86" s="243"/>
      <c r="E86" s="243"/>
      <c r="F86" s="243"/>
      <c r="G86" s="243"/>
      <c r="H86" s="243"/>
      <c r="I86" s="243"/>
      <c r="J86" s="243"/>
      <c r="K86" s="243"/>
      <c r="L86" s="243"/>
      <c r="M86" s="243"/>
      <c r="N86" s="243"/>
      <c r="O86" s="243"/>
    </row>
    <row r="87" spans="1:15">
      <c r="A87" s="243"/>
      <c r="B87" s="243"/>
      <c r="C87" s="243"/>
      <c r="D87" s="243"/>
      <c r="E87" s="243"/>
      <c r="F87" s="243"/>
      <c r="G87" s="243"/>
      <c r="H87" s="243"/>
      <c r="I87" s="243"/>
      <c r="J87" s="243"/>
      <c r="K87" s="243"/>
      <c r="L87" s="243"/>
      <c r="M87" s="243"/>
      <c r="N87" s="243"/>
      <c r="O87" s="243"/>
    </row>
    <row r="88" spans="1:15">
      <c r="A88" s="243"/>
      <c r="B88" s="243"/>
      <c r="C88" s="243"/>
      <c r="D88" s="243"/>
      <c r="E88" s="243"/>
      <c r="F88" s="243"/>
      <c r="G88" s="243"/>
      <c r="H88" s="243"/>
      <c r="J88" s="243"/>
      <c r="K88" s="243"/>
      <c r="L88" s="243"/>
      <c r="M88" s="243"/>
      <c r="N88" s="243"/>
      <c r="O88" s="243"/>
    </row>
    <row r="89" spans="1:15">
      <c r="A89" s="243"/>
      <c r="B89" s="243"/>
      <c r="C89" s="243"/>
      <c r="D89" s="243"/>
      <c r="E89" s="243"/>
      <c r="F89" s="243"/>
      <c r="G89" s="243"/>
      <c r="H89" s="243"/>
      <c r="I89" s="243"/>
      <c r="J89" s="243"/>
      <c r="K89" s="243"/>
      <c r="L89" s="243"/>
      <c r="M89" s="243"/>
      <c r="N89" s="243"/>
      <c r="O89" s="243"/>
    </row>
    <row r="90" spans="1:15">
      <c r="A90" s="243"/>
      <c r="B90" s="243"/>
      <c r="C90" s="243"/>
      <c r="D90" s="243"/>
      <c r="E90" s="243"/>
      <c r="F90" s="243"/>
      <c r="G90" s="243"/>
      <c r="H90" s="243"/>
      <c r="I90" s="243"/>
      <c r="J90" s="243"/>
      <c r="K90" s="243"/>
      <c r="L90" s="243"/>
      <c r="M90" s="243"/>
      <c r="N90" s="243"/>
      <c r="O90" s="243"/>
    </row>
    <row r="91" spans="1:15">
      <c r="A91" s="243"/>
      <c r="B91" s="243"/>
      <c r="C91" s="243"/>
      <c r="D91" s="243"/>
      <c r="E91" s="243"/>
      <c r="F91" s="243"/>
      <c r="G91" s="243"/>
      <c r="H91" s="243"/>
      <c r="I91" s="243"/>
      <c r="J91" s="243"/>
      <c r="K91" s="243"/>
      <c r="L91" s="243"/>
      <c r="M91" s="243"/>
      <c r="N91" s="243"/>
      <c r="O91" s="243"/>
    </row>
    <row r="92" spans="1:15">
      <c r="A92" s="243"/>
      <c r="B92" s="243"/>
      <c r="C92" s="243"/>
      <c r="D92" s="243"/>
      <c r="E92" s="243"/>
      <c r="F92" s="243"/>
      <c r="G92" s="243"/>
      <c r="H92" s="243"/>
      <c r="I92" s="243"/>
      <c r="J92" s="243"/>
      <c r="K92" s="243"/>
      <c r="L92" s="243"/>
      <c r="M92" s="243"/>
      <c r="N92" s="243"/>
      <c r="O92" s="243"/>
    </row>
    <row r="93" spans="1:15">
      <c r="A93" s="243"/>
      <c r="B93" s="243"/>
      <c r="C93" s="243"/>
      <c r="D93" s="243"/>
      <c r="E93" s="243"/>
      <c r="F93" s="243"/>
      <c r="G93" s="243"/>
      <c r="H93" s="243"/>
      <c r="I93" s="243"/>
      <c r="J93" s="243"/>
      <c r="K93" s="243"/>
      <c r="L93" s="243"/>
      <c r="M93" s="243"/>
      <c r="N93" s="243"/>
      <c r="O93" s="243"/>
    </row>
    <row r="94" spans="1:15">
      <c r="A94" s="243"/>
      <c r="B94" s="243"/>
      <c r="C94" s="243"/>
      <c r="D94" s="243"/>
      <c r="E94" s="243"/>
      <c r="F94" s="243"/>
      <c r="G94" s="243"/>
      <c r="H94" s="243"/>
      <c r="J94" s="243"/>
      <c r="K94" s="243"/>
      <c r="L94" s="243"/>
      <c r="M94" s="243"/>
      <c r="N94" s="243"/>
      <c r="O94" s="243"/>
    </row>
    <row r="95" spans="1:15">
      <c r="A95" s="243"/>
      <c r="B95" s="243"/>
      <c r="C95" s="243"/>
      <c r="D95" s="243"/>
      <c r="E95" s="243"/>
      <c r="F95" s="243"/>
      <c r="G95" s="243"/>
      <c r="H95" s="243"/>
      <c r="I95" s="243"/>
      <c r="J95" s="243"/>
      <c r="K95" s="243"/>
      <c r="L95" s="243"/>
      <c r="M95" s="243"/>
      <c r="N95" s="243"/>
      <c r="O95" s="243"/>
    </row>
    <row r="96" spans="1:15">
      <c r="A96" s="243"/>
      <c r="B96" s="243"/>
      <c r="C96" s="243"/>
      <c r="D96" s="243"/>
      <c r="E96" s="243"/>
      <c r="F96" s="243"/>
      <c r="G96" s="243"/>
      <c r="H96" s="243"/>
      <c r="J96" s="243"/>
      <c r="K96" s="243"/>
      <c r="L96" s="243"/>
      <c r="M96" s="243"/>
      <c r="N96" s="243"/>
      <c r="O96" s="243"/>
    </row>
    <row r="97" spans="1:15">
      <c r="A97" s="243"/>
      <c r="B97" s="243"/>
      <c r="C97" s="243"/>
      <c r="D97" s="243"/>
      <c r="E97" s="243"/>
      <c r="F97" s="243"/>
      <c r="G97" s="243"/>
      <c r="H97" s="243"/>
      <c r="I97" s="243"/>
      <c r="J97" s="243"/>
      <c r="K97" s="243"/>
      <c r="L97" s="243"/>
      <c r="M97" s="243"/>
      <c r="N97" s="243"/>
      <c r="O97" s="243"/>
    </row>
    <row r="98" spans="1:15">
      <c r="A98" s="243"/>
      <c r="B98" s="243"/>
      <c r="C98" s="243"/>
      <c r="D98" s="243"/>
      <c r="E98" s="243"/>
      <c r="F98" s="243"/>
      <c r="G98" s="243"/>
      <c r="H98" s="243"/>
      <c r="I98" s="243"/>
      <c r="J98" s="243"/>
      <c r="K98" s="243"/>
      <c r="L98" s="243"/>
      <c r="M98" s="243"/>
      <c r="N98" s="243"/>
      <c r="O98" s="243"/>
    </row>
    <row r="99" spans="1:15">
      <c r="A99" s="243"/>
      <c r="B99" s="243"/>
      <c r="C99" s="243"/>
      <c r="D99" s="243"/>
      <c r="E99" s="243"/>
      <c r="F99" s="243"/>
      <c r="G99" s="243"/>
      <c r="H99" s="243"/>
      <c r="J99" s="243"/>
      <c r="K99" s="243"/>
      <c r="L99" s="243"/>
      <c r="M99" s="243"/>
      <c r="N99" s="243"/>
      <c r="O99" s="243"/>
    </row>
    <row r="100" spans="1:15">
      <c r="A100" s="243"/>
      <c r="B100" s="243"/>
      <c r="C100" s="243"/>
      <c r="D100" s="243"/>
      <c r="E100" s="243"/>
      <c r="F100" s="243"/>
      <c r="G100" s="243"/>
      <c r="H100" s="243"/>
      <c r="I100" s="243"/>
      <c r="J100" s="243"/>
      <c r="K100" s="243"/>
      <c r="L100" s="243"/>
      <c r="M100" s="243"/>
      <c r="N100" s="243"/>
      <c r="O100" s="243"/>
    </row>
    <row r="101" spans="1:15">
      <c r="A101" s="243"/>
      <c r="B101" s="243"/>
      <c r="C101" s="243"/>
      <c r="D101" s="243"/>
      <c r="E101" s="243"/>
      <c r="F101" s="243"/>
      <c r="G101" s="243"/>
      <c r="H101" s="243"/>
      <c r="I101" s="243"/>
      <c r="J101" s="243"/>
      <c r="K101" s="243"/>
      <c r="L101" s="243"/>
      <c r="M101" s="243"/>
      <c r="N101" s="243"/>
      <c r="O101" s="243"/>
    </row>
    <row r="102" spans="1:15">
      <c r="A102" s="243"/>
      <c r="B102" s="243"/>
      <c r="C102" s="243"/>
      <c r="D102" s="243"/>
      <c r="E102" s="243"/>
      <c r="F102" s="243"/>
      <c r="G102" s="243"/>
      <c r="H102" s="243"/>
      <c r="I102" s="243"/>
      <c r="J102" s="243"/>
      <c r="K102" s="243"/>
      <c r="L102" s="243"/>
      <c r="M102" s="243"/>
      <c r="N102" s="243"/>
      <c r="O102" s="243"/>
    </row>
    <row r="103" spans="1:15">
      <c r="A103" s="243"/>
      <c r="B103" s="243"/>
      <c r="C103" s="243"/>
      <c r="D103" s="243"/>
      <c r="E103" s="243"/>
      <c r="F103" s="243"/>
      <c r="G103" s="243"/>
      <c r="H103" s="243"/>
      <c r="I103" s="243"/>
      <c r="J103" s="243"/>
      <c r="K103" s="243"/>
      <c r="L103" s="243"/>
      <c r="M103" s="243"/>
      <c r="N103" s="243"/>
      <c r="O103" s="243"/>
    </row>
    <row r="104" spans="1:15">
      <c r="A104" s="243"/>
      <c r="B104" s="243"/>
      <c r="C104" s="243"/>
      <c r="D104" s="243"/>
      <c r="E104" s="243"/>
      <c r="F104" s="243"/>
      <c r="G104" s="243"/>
      <c r="H104" s="243"/>
      <c r="I104" s="243"/>
      <c r="J104" s="243"/>
      <c r="K104" s="243"/>
      <c r="L104" s="243"/>
      <c r="M104" s="243"/>
      <c r="N104" s="243"/>
      <c r="O104" s="243"/>
    </row>
    <row r="105" spans="1:15">
      <c r="A105" s="243"/>
      <c r="B105" s="243"/>
      <c r="C105" s="243"/>
      <c r="D105" s="243"/>
      <c r="E105" s="243"/>
      <c r="F105" s="243"/>
      <c r="G105" s="243"/>
      <c r="H105" s="243"/>
      <c r="I105" s="243"/>
      <c r="J105" s="243"/>
      <c r="K105" s="243"/>
      <c r="L105" s="243"/>
      <c r="M105" s="243"/>
      <c r="N105" s="243"/>
      <c r="O105" s="243"/>
    </row>
    <row r="106" spans="1:15">
      <c r="A106" s="243"/>
      <c r="B106" s="243"/>
      <c r="C106" s="243"/>
      <c r="D106" s="243"/>
      <c r="E106" s="243"/>
      <c r="F106" s="243"/>
      <c r="G106" s="243"/>
      <c r="H106" s="243"/>
      <c r="I106" s="243"/>
      <c r="J106" s="243"/>
      <c r="K106" s="243"/>
      <c r="L106" s="243"/>
      <c r="M106" s="243"/>
      <c r="N106" s="243"/>
      <c r="O106" s="243"/>
    </row>
    <row r="107" spans="1:15">
      <c r="A107" s="243"/>
      <c r="B107" s="243"/>
      <c r="C107" s="243"/>
      <c r="D107" s="243"/>
      <c r="E107" s="243"/>
      <c r="F107" s="243"/>
      <c r="G107" s="243"/>
      <c r="H107" s="243"/>
      <c r="I107" s="243"/>
      <c r="J107" s="243"/>
      <c r="K107" s="243"/>
      <c r="L107" s="243"/>
      <c r="M107" s="243"/>
      <c r="N107" s="243"/>
      <c r="O107" s="243"/>
    </row>
    <row r="108" spans="1:15">
      <c r="A108" s="243"/>
      <c r="B108" s="243"/>
      <c r="C108" s="243"/>
      <c r="D108" s="243"/>
      <c r="E108" s="243"/>
      <c r="F108" s="243"/>
      <c r="G108" s="243"/>
      <c r="H108" s="243"/>
      <c r="I108" s="243"/>
      <c r="J108" s="243"/>
      <c r="K108" s="243"/>
      <c r="L108" s="243"/>
      <c r="M108" s="243"/>
      <c r="N108" s="243"/>
      <c r="O108" s="243"/>
    </row>
    <row r="109" spans="1:15">
      <c r="A109" s="243"/>
      <c r="B109" s="243"/>
      <c r="C109" s="243"/>
      <c r="D109" s="243"/>
      <c r="E109" s="243"/>
      <c r="F109" s="243"/>
      <c r="G109" s="243"/>
      <c r="H109" s="243"/>
      <c r="I109" s="243"/>
      <c r="J109" s="243"/>
      <c r="K109" s="243"/>
      <c r="L109" s="243"/>
      <c r="M109" s="243"/>
      <c r="N109" s="243"/>
      <c r="O109" s="243"/>
    </row>
    <row r="110" spans="1:15">
      <c r="A110" s="243"/>
      <c r="B110" s="243"/>
      <c r="C110" s="243"/>
      <c r="D110" s="243"/>
      <c r="E110" s="243"/>
      <c r="F110" s="243"/>
      <c r="G110" s="243"/>
      <c r="H110" s="243"/>
      <c r="I110" s="243"/>
      <c r="J110" s="243"/>
      <c r="K110" s="243"/>
      <c r="L110" s="243"/>
      <c r="M110" s="243"/>
      <c r="N110" s="243"/>
      <c r="O110" s="243"/>
    </row>
    <row r="111" spans="1:15">
      <c r="A111" s="243"/>
      <c r="B111" s="243"/>
      <c r="C111" s="243"/>
      <c r="D111" s="243"/>
      <c r="E111" s="243"/>
      <c r="F111" s="243"/>
      <c r="G111" s="243"/>
      <c r="H111" s="243"/>
      <c r="I111" s="243"/>
      <c r="J111" s="243"/>
      <c r="K111" s="243"/>
      <c r="L111" s="243"/>
      <c r="M111" s="243"/>
      <c r="N111" s="243"/>
      <c r="O111" s="243"/>
    </row>
    <row r="112" spans="1:15">
      <c r="A112" s="243"/>
      <c r="B112" s="243"/>
      <c r="C112" s="243"/>
      <c r="D112" s="243"/>
      <c r="E112" s="243"/>
      <c r="F112" s="243"/>
      <c r="G112" s="243"/>
      <c r="H112" s="243"/>
      <c r="I112" s="243"/>
      <c r="J112" s="243"/>
      <c r="K112" s="243"/>
      <c r="L112" s="243"/>
      <c r="M112" s="243"/>
      <c r="N112" s="243"/>
      <c r="O112" s="243"/>
    </row>
    <row r="113" spans="1:15">
      <c r="A113" s="243"/>
      <c r="B113" s="243"/>
      <c r="C113" s="243"/>
      <c r="D113" s="243"/>
      <c r="E113" s="243"/>
      <c r="F113" s="243"/>
      <c r="G113" s="243"/>
      <c r="H113" s="243"/>
      <c r="I113" s="243"/>
      <c r="J113" s="243"/>
      <c r="K113" s="243"/>
      <c r="L113" s="243"/>
      <c r="M113" s="243"/>
      <c r="N113" s="243"/>
      <c r="O113" s="243"/>
    </row>
    <row r="114" spans="1:15">
      <c r="A114" s="243"/>
      <c r="B114" s="243"/>
      <c r="C114" s="243"/>
      <c r="D114" s="243"/>
      <c r="E114" s="243"/>
      <c r="F114" s="243"/>
      <c r="G114" s="243"/>
      <c r="H114" s="243"/>
      <c r="I114" s="243"/>
      <c r="J114" s="243"/>
      <c r="K114" s="243"/>
      <c r="L114" s="243"/>
      <c r="M114" s="243"/>
      <c r="N114" s="243"/>
      <c r="O114" s="243"/>
    </row>
    <row r="115" spans="1:15">
      <c r="A115" s="243"/>
      <c r="B115" s="243"/>
      <c r="C115" s="243"/>
      <c r="D115" s="243"/>
      <c r="E115" s="243"/>
      <c r="F115" s="243"/>
      <c r="G115" s="243"/>
      <c r="H115" s="243"/>
      <c r="J115" s="243"/>
      <c r="K115" s="243"/>
      <c r="L115" s="243"/>
      <c r="M115" s="243"/>
      <c r="N115" s="243"/>
      <c r="O115" s="243"/>
    </row>
    <row r="116" spans="1:15">
      <c r="A116" s="243"/>
      <c r="B116" s="243"/>
      <c r="C116" s="243"/>
      <c r="D116" s="243"/>
      <c r="E116" s="243"/>
      <c r="F116" s="243"/>
      <c r="G116" s="243"/>
      <c r="H116" s="243"/>
      <c r="I116" s="243"/>
      <c r="J116" s="243"/>
      <c r="K116" s="243"/>
      <c r="L116" s="243"/>
      <c r="M116" s="243"/>
      <c r="N116" s="243"/>
      <c r="O116" s="243"/>
    </row>
    <row r="117" spans="1:15">
      <c r="A117" s="243"/>
      <c r="B117" s="243"/>
      <c r="C117" s="243"/>
      <c r="D117" s="243"/>
      <c r="E117" s="243"/>
      <c r="F117" s="243"/>
      <c r="G117" s="243"/>
      <c r="H117" s="243"/>
      <c r="I117" s="243"/>
      <c r="J117" s="243"/>
      <c r="K117" s="243"/>
      <c r="L117" s="243"/>
      <c r="M117" s="243"/>
      <c r="N117" s="243"/>
      <c r="O117" s="243"/>
    </row>
    <row r="118" spans="1:15">
      <c r="A118" s="243"/>
      <c r="B118" s="243"/>
      <c r="C118" s="243"/>
      <c r="D118" s="243"/>
      <c r="E118" s="243"/>
      <c r="F118" s="243"/>
      <c r="G118" s="243"/>
      <c r="H118" s="243"/>
      <c r="I118" s="243"/>
      <c r="J118" s="243"/>
      <c r="K118" s="243"/>
      <c r="L118" s="243"/>
      <c r="M118" s="243"/>
      <c r="N118" s="243"/>
      <c r="O118" s="243"/>
    </row>
    <row r="119" spans="1:15">
      <c r="A119" s="243"/>
      <c r="B119" s="243"/>
      <c r="C119" s="243"/>
      <c r="D119" s="243"/>
      <c r="E119" s="243"/>
      <c r="F119" s="243"/>
      <c r="G119" s="243"/>
      <c r="H119" s="243"/>
      <c r="I119" s="243"/>
      <c r="J119" s="243"/>
      <c r="K119" s="243"/>
      <c r="L119" s="243"/>
      <c r="M119" s="243"/>
      <c r="N119" s="243"/>
      <c r="O119" s="243"/>
    </row>
    <row r="120" spans="1:15">
      <c r="A120" s="243"/>
      <c r="B120" s="243"/>
      <c r="C120" s="243"/>
      <c r="D120" s="243"/>
      <c r="E120" s="243"/>
      <c r="F120" s="243"/>
      <c r="G120" s="243"/>
      <c r="H120" s="243"/>
      <c r="I120" s="243"/>
      <c r="J120" s="243"/>
      <c r="K120" s="243"/>
      <c r="L120" s="243"/>
      <c r="M120" s="243"/>
      <c r="N120" s="243"/>
      <c r="O120" s="243"/>
    </row>
    <row r="121" spans="1:15">
      <c r="A121" s="243"/>
      <c r="B121" s="243"/>
      <c r="C121" s="243"/>
      <c r="D121" s="243"/>
      <c r="E121" s="243"/>
      <c r="F121" s="243"/>
      <c r="G121" s="243"/>
      <c r="H121" s="243"/>
      <c r="I121" s="243"/>
      <c r="J121" s="243"/>
      <c r="K121" s="243"/>
      <c r="L121" s="243"/>
      <c r="M121" s="243"/>
      <c r="N121" s="243"/>
      <c r="O121" s="243"/>
    </row>
    <row r="122" spans="1:15">
      <c r="A122" s="243"/>
      <c r="B122" s="243"/>
      <c r="C122" s="243"/>
      <c r="D122" s="243"/>
      <c r="E122" s="243"/>
      <c r="F122" s="243"/>
      <c r="G122" s="243"/>
      <c r="H122" s="243"/>
      <c r="J122" s="243"/>
      <c r="K122" s="243"/>
      <c r="L122" s="243"/>
      <c r="M122" s="243"/>
      <c r="N122" s="243"/>
      <c r="O122" s="243"/>
    </row>
    <row r="123" spans="1:15">
      <c r="A123" s="243"/>
      <c r="B123" s="243"/>
      <c r="C123" s="243"/>
      <c r="D123" s="243"/>
      <c r="E123" s="243"/>
      <c r="F123" s="243"/>
      <c r="G123" s="243"/>
      <c r="H123" s="243"/>
      <c r="J123" s="243"/>
      <c r="K123" s="243"/>
      <c r="L123" s="243"/>
      <c r="M123" s="243"/>
      <c r="N123" s="243"/>
      <c r="O123" s="243"/>
    </row>
    <row r="124" spans="1:15">
      <c r="A124" s="243"/>
      <c r="B124" s="243"/>
      <c r="C124" s="243"/>
      <c r="D124" s="243"/>
      <c r="E124" s="243"/>
      <c r="F124" s="243"/>
      <c r="G124" s="243"/>
      <c r="H124" s="243"/>
      <c r="I124" s="243"/>
      <c r="J124" s="243"/>
      <c r="K124" s="243"/>
      <c r="L124" s="243"/>
      <c r="M124" s="243"/>
      <c r="N124" s="243"/>
      <c r="O124" s="243"/>
    </row>
    <row r="125" spans="1:15">
      <c r="A125" s="243"/>
      <c r="B125" s="243"/>
      <c r="C125" s="243"/>
      <c r="D125" s="243"/>
      <c r="E125" s="243"/>
      <c r="F125" s="243"/>
      <c r="G125" s="243"/>
      <c r="H125" s="243"/>
      <c r="I125" s="243"/>
      <c r="J125" s="243"/>
      <c r="K125" s="243"/>
      <c r="L125" s="243"/>
      <c r="M125" s="243"/>
      <c r="N125" s="243"/>
      <c r="O125" s="243"/>
    </row>
    <row r="126" spans="1:15">
      <c r="A126" s="243"/>
      <c r="B126" s="243"/>
      <c r="C126" s="243"/>
      <c r="D126" s="243"/>
      <c r="E126" s="243"/>
      <c r="F126" s="243"/>
      <c r="G126" s="243"/>
      <c r="H126" s="243"/>
      <c r="I126" s="243"/>
      <c r="J126" s="243"/>
      <c r="K126" s="243"/>
      <c r="L126" s="243"/>
      <c r="M126" s="243"/>
      <c r="N126" s="243"/>
      <c r="O126" s="243"/>
    </row>
    <row r="127" spans="1:15">
      <c r="A127" s="243"/>
      <c r="B127" s="243"/>
      <c r="C127" s="243"/>
      <c r="D127" s="243"/>
      <c r="E127" s="243"/>
      <c r="F127" s="243"/>
      <c r="G127" s="243"/>
      <c r="H127" s="243"/>
      <c r="I127" s="243"/>
      <c r="J127" s="243"/>
      <c r="K127" s="243"/>
      <c r="L127" s="243"/>
      <c r="M127" s="243"/>
      <c r="N127" s="243"/>
      <c r="O127" s="243"/>
    </row>
    <row r="128" spans="1:15">
      <c r="A128" s="243"/>
      <c r="B128" s="243"/>
      <c r="C128" s="243"/>
      <c r="D128" s="243"/>
      <c r="E128" s="243"/>
      <c r="F128" s="243"/>
      <c r="G128" s="243"/>
      <c r="H128" s="243"/>
      <c r="I128" s="243"/>
      <c r="J128" s="243"/>
      <c r="K128" s="243"/>
      <c r="L128" s="243"/>
      <c r="M128" s="243"/>
      <c r="N128" s="243"/>
      <c r="O128" s="243"/>
    </row>
    <row r="129" spans="1:15">
      <c r="A129" s="243"/>
      <c r="B129" s="243"/>
      <c r="C129" s="243"/>
      <c r="D129" s="243"/>
      <c r="E129" s="243"/>
      <c r="F129" s="243"/>
      <c r="G129" s="243"/>
      <c r="H129" s="243"/>
      <c r="J129" s="243"/>
      <c r="K129" s="243"/>
      <c r="L129" s="243"/>
      <c r="M129" s="243"/>
      <c r="N129" s="243"/>
      <c r="O129" s="243"/>
    </row>
    <row r="130" spans="1:15">
      <c r="A130" s="243"/>
      <c r="B130" s="243"/>
      <c r="C130" s="243"/>
      <c r="D130" s="243"/>
      <c r="E130" s="243"/>
      <c r="F130" s="243"/>
      <c r="G130" s="243"/>
      <c r="H130" s="243"/>
      <c r="I130" s="243"/>
      <c r="J130" s="243"/>
      <c r="K130" s="243"/>
      <c r="L130" s="243"/>
      <c r="M130" s="243"/>
      <c r="N130" s="243"/>
      <c r="O130" s="243"/>
    </row>
    <row r="131" spans="1:15">
      <c r="A131" s="243"/>
      <c r="B131" s="243"/>
      <c r="C131" s="243"/>
      <c r="D131" s="243"/>
      <c r="E131" s="243"/>
      <c r="F131" s="243"/>
      <c r="G131" s="243"/>
      <c r="H131" s="243"/>
      <c r="I131" s="243"/>
      <c r="J131" s="243"/>
      <c r="K131" s="243"/>
      <c r="L131" s="243"/>
      <c r="M131" s="243"/>
      <c r="N131" s="243"/>
      <c r="O131" s="243"/>
    </row>
    <row r="132" spans="1:15">
      <c r="A132" s="243"/>
      <c r="B132" s="243"/>
      <c r="C132" s="243"/>
      <c r="D132" s="243"/>
      <c r="E132" s="243"/>
      <c r="F132" s="243"/>
      <c r="G132" s="243"/>
      <c r="H132" s="243"/>
      <c r="I132" s="243"/>
      <c r="J132" s="243"/>
      <c r="K132" s="243"/>
      <c r="L132" s="243"/>
      <c r="M132" s="243"/>
      <c r="N132" s="243"/>
      <c r="O132" s="243"/>
    </row>
    <row r="133" spans="1:15">
      <c r="A133" s="243"/>
      <c r="B133" s="243"/>
      <c r="C133" s="243"/>
      <c r="D133" s="243"/>
      <c r="E133" s="243"/>
      <c r="F133" s="243"/>
      <c r="G133" s="243"/>
      <c r="H133" s="243"/>
      <c r="I133" s="243"/>
      <c r="J133" s="243"/>
      <c r="K133" s="243"/>
      <c r="L133" s="243"/>
      <c r="M133" s="243"/>
      <c r="N133" s="243"/>
      <c r="O133" s="243"/>
    </row>
    <row r="134" spans="1:15">
      <c r="A134" s="243"/>
      <c r="B134" s="243"/>
      <c r="C134" s="243"/>
      <c r="D134" s="243"/>
      <c r="E134" s="243"/>
      <c r="F134" s="243"/>
      <c r="G134" s="243"/>
      <c r="H134" s="243"/>
      <c r="I134" s="243"/>
      <c r="J134" s="243"/>
      <c r="K134" s="243"/>
      <c r="L134" s="243"/>
      <c r="M134" s="243"/>
      <c r="N134" s="243"/>
      <c r="O134" s="243"/>
    </row>
    <row r="135" spans="1:15">
      <c r="A135" s="243"/>
      <c r="B135" s="243"/>
      <c r="C135" s="243"/>
      <c r="D135" s="243"/>
      <c r="E135" s="243"/>
      <c r="F135" s="243"/>
      <c r="G135" s="243"/>
      <c r="H135" s="243"/>
      <c r="I135" s="243"/>
      <c r="J135" s="243"/>
      <c r="K135" s="243"/>
      <c r="L135" s="243"/>
      <c r="M135" s="243"/>
      <c r="N135" s="243"/>
      <c r="O135" s="243"/>
    </row>
    <row r="136" spans="1:15">
      <c r="A136" s="243"/>
      <c r="B136" s="243"/>
      <c r="C136" s="243"/>
      <c r="D136" s="243"/>
      <c r="E136" s="243"/>
      <c r="F136" s="243"/>
      <c r="G136" s="243"/>
      <c r="H136" s="243"/>
      <c r="I136" s="243"/>
      <c r="J136" s="243"/>
      <c r="K136" s="243"/>
      <c r="L136" s="243"/>
      <c r="M136" s="243"/>
      <c r="N136" s="243"/>
      <c r="O136" s="243"/>
    </row>
    <row r="137" spans="1:15">
      <c r="A137" s="243"/>
      <c r="B137" s="243"/>
      <c r="C137" s="243"/>
      <c r="D137" s="243"/>
      <c r="E137" s="243"/>
      <c r="F137" s="243"/>
      <c r="G137" s="243"/>
      <c r="H137" s="243"/>
      <c r="I137" s="243"/>
      <c r="J137" s="243"/>
      <c r="K137" s="243"/>
      <c r="L137" s="243"/>
      <c r="M137" s="243"/>
      <c r="N137" s="243"/>
      <c r="O137" s="243"/>
    </row>
    <row r="138" spans="1:15">
      <c r="A138" s="243"/>
      <c r="B138" s="243"/>
      <c r="C138" s="243"/>
      <c r="D138" s="243"/>
      <c r="E138" s="243"/>
      <c r="F138" s="243"/>
      <c r="G138" s="243"/>
      <c r="H138" s="243"/>
      <c r="I138" s="243"/>
      <c r="J138" s="243"/>
      <c r="K138" s="243"/>
      <c r="L138" s="243"/>
      <c r="M138" s="243"/>
      <c r="N138" s="243"/>
      <c r="O138" s="243"/>
    </row>
    <row r="139" spans="1:15">
      <c r="A139" s="243"/>
      <c r="B139" s="243"/>
      <c r="C139" s="243"/>
      <c r="D139" s="243"/>
      <c r="E139" s="243"/>
      <c r="F139" s="243"/>
      <c r="G139" s="243"/>
      <c r="H139" s="243"/>
      <c r="I139" s="243"/>
      <c r="J139" s="243"/>
      <c r="K139" s="243"/>
      <c r="L139" s="243"/>
      <c r="M139" s="243"/>
      <c r="N139" s="243"/>
      <c r="O139" s="243"/>
    </row>
    <row r="140" spans="1:15">
      <c r="A140" s="243"/>
      <c r="B140" s="243"/>
      <c r="C140" s="243"/>
      <c r="D140" s="243"/>
      <c r="E140" s="243"/>
      <c r="F140" s="243"/>
      <c r="G140" s="243"/>
      <c r="H140" s="243"/>
      <c r="J140" s="243"/>
      <c r="K140" s="243"/>
      <c r="L140" s="243"/>
      <c r="M140" s="243"/>
      <c r="N140" s="243"/>
      <c r="O140" s="243"/>
    </row>
    <row r="141" spans="1:15">
      <c r="A141" s="243"/>
      <c r="B141" s="243"/>
      <c r="C141" s="243"/>
      <c r="D141" s="243"/>
      <c r="E141" s="243"/>
      <c r="F141" s="243"/>
      <c r="G141" s="243"/>
      <c r="H141" s="243"/>
      <c r="I141" s="243"/>
      <c r="J141" s="243"/>
      <c r="K141" s="243"/>
      <c r="L141" s="243"/>
      <c r="M141" s="243"/>
      <c r="N141" s="243"/>
      <c r="O141" s="243"/>
    </row>
    <row r="142" spans="1:15">
      <c r="A142" s="243"/>
      <c r="B142" s="243"/>
      <c r="C142" s="243"/>
      <c r="D142" s="243"/>
      <c r="E142" s="243"/>
      <c r="F142" s="243"/>
      <c r="G142" s="243"/>
      <c r="H142" s="243"/>
      <c r="J142" s="243"/>
      <c r="K142" s="243"/>
      <c r="L142" s="243"/>
      <c r="M142" s="243"/>
      <c r="N142" s="243"/>
      <c r="O142" s="243"/>
    </row>
    <row r="143" spans="1:15">
      <c r="A143" s="243"/>
      <c r="B143" s="243"/>
      <c r="C143" s="243"/>
      <c r="D143" s="243"/>
      <c r="E143" s="243"/>
      <c r="F143" s="243"/>
      <c r="G143" s="243"/>
      <c r="H143" s="243"/>
      <c r="I143" s="243"/>
      <c r="J143" s="243"/>
      <c r="K143" s="243"/>
      <c r="L143" s="243"/>
      <c r="M143" s="243"/>
      <c r="N143" s="243"/>
      <c r="O143" s="243"/>
    </row>
    <row r="144" spans="1:15">
      <c r="A144" s="243"/>
      <c r="B144" s="243"/>
      <c r="C144" s="243"/>
      <c r="D144" s="243"/>
      <c r="E144" s="243"/>
      <c r="F144" s="243"/>
      <c r="G144" s="243"/>
      <c r="H144" s="243"/>
      <c r="I144" s="243"/>
      <c r="J144" s="243"/>
      <c r="K144" s="243"/>
      <c r="L144" s="243"/>
      <c r="M144" s="243"/>
      <c r="N144" s="243"/>
      <c r="O144" s="243"/>
    </row>
    <row r="145" spans="1:15">
      <c r="A145" s="243"/>
      <c r="B145" s="243"/>
      <c r="C145" s="243"/>
      <c r="D145" s="243"/>
      <c r="E145" s="243"/>
      <c r="F145" s="243"/>
      <c r="G145" s="243"/>
      <c r="H145" s="243"/>
      <c r="I145" s="243"/>
      <c r="J145" s="243"/>
      <c r="K145" s="243"/>
      <c r="L145" s="243"/>
      <c r="M145" s="243"/>
      <c r="N145" s="243"/>
      <c r="O145" s="243"/>
    </row>
    <row r="146" spans="1:15">
      <c r="A146" s="243"/>
      <c r="B146" s="243"/>
      <c r="C146" s="243"/>
      <c r="D146" s="243"/>
      <c r="E146" s="243"/>
      <c r="F146" s="243"/>
      <c r="G146" s="243"/>
      <c r="H146" s="243"/>
      <c r="I146" s="243"/>
      <c r="J146" s="243"/>
      <c r="K146" s="243"/>
      <c r="L146" s="243"/>
      <c r="M146" s="243"/>
      <c r="N146" s="243"/>
      <c r="O146" s="243"/>
    </row>
    <row r="147" spans="1:15">
      <c r="A147" s="243"/>
      <c r="B147" s="243"/>
      <c r="C147" s="243"/>
      <c r="D147" s="243"/>
      <c r="E147" s="243"/>
      <c r="F147" s="243"/>
      <c r="G147" s="243"/>
      <c r="H147" s="243"/>
      <c r="I147" s="243"/>
      <c r="J147" s="243"/>
      <c r="K147" s="243"/>
      <c r="L147" s="243"/>
      <c r="M147" s="243"/>
      <c r="N147" s="243"/>
      <c r="O147" s="243"/>
    </row>
    <row r="148" spans="1:15">
      <c r="A148" s="243"/>
      <c r="B148" s="243"/>
      <c r="C148" s="243"/>
      <c r="D148" s="243"/>
      <c r="E148" s="243"/>
      <c r="F148" s="243"/>
      <c r="G148" s="243"/>
      <c r="H148" s="243"/>
      <c r="I148" s="243"/>
      <c r="J148" s="243"/>
      <c r="K148" s="243"/>
      <c r="L148" s="243"/>
      <c r="M148" s="243"/>
      <c r="N148" s="243"/>
      <c r="O148" s="243"/>
    </row>
    <row r="149" spans="1:15">
      <c r="A149" s="243"/>
      <c r="B149" s="243"/>
      <c r="C149" s="243"/>
      <c r="D149" s="243"/>
      <c r="E149" s="243"/>
      <c r="F149" s="243"/>
      <c r="G149" s="243"/>
      <c r="H149" s="243"/>
      <c r="I149" s="243"/>
      <c r="J149" s="243"/>
      <c r="K149" s="243"/>
      <c r="L149" s="243"/>
      <c r="M149" s="243"/>
      <c r="N149" s="243"/>
      <c r="O149" s="243"/>
    </row>
    <row r="150" spans="1:15">
      <c r="A150" s="243"/>
      <c r="B150" s="243"/>
      <c r="C150" s="243"/>
      <c r="D150" s="243"/>
      <c r="E150" s="243"/>
      <c r="F150" s="243"/>
      <c r="G150" s="243"/>
      <c r="H150" s="243"/>
      <c r="J150" s="243"/>
      <c r="K150" s="243"/>
      <c r="L150" s="243"/>
      <c r="M150" s="243"/>
      <c r="N150" s="243"/>
      <c r="O150" s="243"/>
    </row>
    <row r="151" spans="1:15">
      <c r="A151" s="243"/>
      <c r="B151" s="243"/>
      <c r="C151" s="243"/>
      <c r="D151" s="243"/>
      <c r="E151" s="243"/>
      <c r="F151" s="243"/>
      <c r="G151" s="243"/>
      <c r="H151" s="243"/>
      <c r="I151" s="243"/>
      <c r="J151" s="243"/>
      <c r="K151" s="243"/>
      <c r="L151" s="243"/>
      <c r="M151" s="243"/>
      <c r="N151" s="243"/>
      <c r="O151" s="243"/>
    </row>
    <row r="152" spans="1:15">
      <c r="A152" s="243"/>
      <c r="B152" s="243"/>
      <c r="C152" s="243"/>
      <c r="D152" s="243"/>
      <c r="E152" s="243"/>
      <c r="F152" s="243"/>
      <c r="G152" s="243"/>
      <c r="H152" s="243"/>
      <c r="I152" s="243"/>
      <c r="J152" s="243"/>
      <c r="K152" s="243"/>
      <c r="L152" s="243"/>
      <c r="M152" s="243"/>
      <c r="N152" s="243"/>
      <c r="O152" s="243"/>
    </row>
    <row r="153" spans="1:15">
      <c r="A153" s="243"/>
      <c r="B153" s="243"/>
      <c r="C153" s="243"/>
      <c r="D153" s="243"/>
      <c r="E153" s="243"/>
      <c r="F153" s="243"/>
      <c r="G153" s="243"/>
      <c r="H153" s="243"/>
      <c r="I153" s="243"/>
      <c r="J153" s="243"/>
      <c r="K153" s="243"/>
      <c r="L153" s="243"/>
      <c r="M153" s="243"/>
      <c r="N153" s="243"/>
      <c r="O153" s="243"/>
    </row>
    <row r="154" spans="1:15">
      <c r="A154" s="243"/>
      <c r="B154" s="243"/>
      <c r="C154" s="243"/>
      <c r="D154" s="243"/>
      <c r="E154" s="243"/>
      <c r="F154" s="243"/>
      <c r="G154" s="243"/>
      <c r="H154" s="243"/>
      <c r="I154" s="243"/>
      <c r="J154" s="243"/>
      <c r="K154" s="243"/>
      <c r="L154" s="243"/>
      <c r="M154" s="243"/>
      <c r="N154" s="243"/>
      <c r="O154" s="243"/>
    </row>
    <row r="155" spans="1:15">
      <c r="A155" s="243"/>
      <c r="B155" s="243"/>
      <c r="C155" s="243"/>
      <c r="D155" s="243"/>
      <c r="E155" s="243"/>
      <c r="F155" s="243"/>
      <c r="G155" s="243"/>
      <c r="H155" s="243"/>
      <c r="I155" s="243"/>
      <c r="J155" s="243"/>
      <c r="K155" s="243"/>
      <c r="L155" s="243"/>
      <c r="M155" s="243"/>
      <c r="N155" s="243"/>
      <c r="O155" s="243"/>
    </row>
    <row r="156" spans="1:15">
      <c r="A156" s="243"/>
      <c r="B156" s="243"/>
      <c r="C156" s="243"/>
      <c r="D156" s="243"/>
      <c r="E156" s="243"/>
      <c r="F156" s="243"/>
      <c r="G156" s="243"/>
      <c r="H156" s="243"/>
      <c r="I156" s="243"/>
      <c r="J156" s="243"/>
      <c r="K156" s="243"/>
      <c r="L156" s="243"/>
      <c r="M156" s="243"/>
      <c r="N156" s="243"/>
      <c r="O156" s="243"/>
    </row>
    <row r="157" spans="1:15">
      <c r="A157" s="243"/>
      <c r="B157" s="243"/>
      <c r="C157" s="243"/>
      <c r="D157" s="243"/>
      <c r="E157" s="243"/>
      <c r="F157" s="243"/>
      <c r="G157" s="243"/>
      <c r="H157" s="243"/>
      <c r="I157" s="243"/>
      <c r="J157" s="243"/>
      <c r="K157" s="243"/>
      <c r="L157" s="243"/>
      <c r="M157" s="243"/>
      <c r="N157" s="243"/>
      <c r="O157" s="243"/>
    </row>
    <row r="158" spans="1:15">
      <c r="A158" s="243"/>
      <c r="B158" s="243"/>
      <c r="C158" s="243"/>
      <c r="D158" s="243"/>
      <c r="E158" s="243"/>
      <c r="F158" s="243"/>
      <c r="G158" s="243"/>
      <c r="H158" s="243"/>
      <c r="I158" s="243"/>
      <c r="J158" s="243"/>
      <c r="K158" s="243"/>
      <c r="L158" s="243"/>
      <c r="M158" s="243"/>
      <c r="N158" s="243"/>
      <c r="O158" s="243"/>
    </row>
    <row r="159" spans="1:15">
      <c r="A159" s="243"/>
      <c r="B159" s="243"/>
      <c r="C159" s="243"/>
      <c r="D159" s="243"/>
      <c r="E159" s="243"/>
      <c r="F159" s="243"/>
      <c r="G159" s="243"/>
      <c r="H159" s="243"/>
      <c r="I159" s="243"/>
      <c r="J159" s="243"/>
      <c r="K159" s="243"/>
      <c r="L159" s="243"/>
      <c r="M159" s="243"/>
      <c r="N159" s="243"/>
      <c r="O159" s="243"/>
    </row>
    <row r="160" spans="1:15">
      <c r="A160" s="243"/>
      <c r="B160" s="243"/>
      <c r="C160" s="243"/>
      <c r="D160" s="243"/>
      <c r="E160" s="243"/>
      <c r="F160" s="243"/>
      <c r="G160" s="243"/>
      <c r="H160" s="243"/>
      <c r="I160" s="243"/>
      <c r="J160" s="243"/>
      <c r="K160" s="243"/>
      <c r="L160" s="243"/>
      <c r="M160" s="243"/>
      <c r="N160" s="243"/>
      <c r="O160" s="243"/>
    </row>
    <row r="161" spans="1:15">
      <c r="A161" s="243"/>
      <c r="B161" s="243"/>
      <c r="C161" s="243"/>
      <c r="D161" s="243"/>
      <c r="E161" s="243"/>
      <c r="F161" s="243"/>
      <c r="G161" s="243"/>
      <c r="H161" s="243"/>
      <c r="I161" s="243"/>
      <c r="J161" s="243"/>
      <c r="K161" s="243"/>
      <c r="L161" s="243"/>
      <c r="M161" s="243"/>
      <c r="N161" s="243"/>
      <c r="O161" s="243"/>
    </row>
    <row r="162" spans="1:15">
      <c r="A162" s="243"/>
      <c r="B162" s="243"/>
      <c r="C162" s="243"/>
      <c r="D162" s="243"/>
      <c r="E162" s="243"/>
      <c r="F162" s="243"/>
      <c r="G162" s="243"/>
      <c r="H162" s="243"/>
      <c r="J162" s="243"/>
      <c r="K162" s="243"/>
      <c r="L162" s="243"/>
      <c r="M162" s="243"/>
      <c r="N162" s="243"/>
      <c r="O162" s="243"/>
    </row>
    <row r="163" spans="1:15">
      <c r="A163" s="243"/>
      <c r="B163" s="243"/>
      <c r="C163" s="243"/>
      <c r="D163" s="243"/>
      <c r="E163" s="243"/>
      <c r="F163" s="243"/>
      <c r="G163" s="243"/>
      <c r="H163" s="243"/>
      <c r="I163" s="243"/>
      <c r="J163" s="243"/>
      <c r="K163" s="243"/>
      <c r="L163" s="243"/>
      <c r="M163" s="243"/>
      <c r="N163" s="243"/>
      <c r="O163" s="243"/>
    </row>
    <row r="164" spans="1:15">
      <c r="A164" s="243"/>
      <c r="B164" s="243"/>
      <c r="C164" s="243"/>
      <c r="D164" s="243"/>
      <c r="E164" s="243"/>
      <c r="F164" s="243"/>
      <c r="G164" s="243"/>
      <c r="H164" s="243"/>
      <c r="I164" s="243"/>
      <c r="J164" s="243"/>
      <c r="K164" s="243"/>
      <c r="L164" s="243"/>
      <c r="M164" s="243"/>
      <c r="N164" s="243"/>
      <c r="O164" s="243"/>
    </row>
    <row r="165" spans="1:15">
      <c r="A165" s="243"/>
      <c r="B165" s="243"/>
      <c r="C165" s="243"/>
      <c r="D165" s="243"/>
      <c r="E165" s="243"/>
      <c r="F165" s="243"/>
      <c r="G165" s="243"/>
      <c r="H165" s="243"/>
      <c r="I165" s="243"/>
      <c r="J165" s="243"/>
      <c r="K165" s="243"/>
      <c r="L165" s="243"/>
      <c r="M165" s="243"/>
      <c r="N165" s="243"/>
      <c r="O165" s="243"/>
    </row>
    <row r="166" spans="1:15">
      <c r="A166" s="243"/>
      <c r="B166" s="243"/>
      <c r="C166" s="243"/>
      <c r="D166" s="243"/>
      <c r="E166" s="243"/>
      <c r="F166" s="243"/>
      <c r="G166" s="243"/>
      <c r="H166" s="243"/>
      <c r="I166" s="243"/>
      <c r="J166" s="243"/>
      <c r="K166" s="243"/>
      <c r="L166" s="243"/>
      <c r="M166" s="243"/>
      <c r="N166" s="243"/>
      <c r="O166" s="243"/>
    </row>
    <row r="167" spans="1:15">
      <c r="A167" s="243"/>
      <c r="B167" s="243"/>
      <c r="C167" s="243"/>
      <c r="D167" s="243"/>
      <c r="E167" s="243"/>
      <c r="F167" s="243"/>
      <c r="G167" s="243"/>
      <c r="H167" s="243"/>
      <c r="I167" s="243"/>
      <c r="J167" s="243"/>
      <c r="K167" s="243"/>
      <c r="L167" s="243"/>
      <c r="M167" s="243"/>
      <c r="N167" s="243"/>
      <c r="O167" s="243"/>
    </row>
    <row r="168" spans="1:15">
      <c r="A168" s="243"/>
      <c r="B168" s="243"/>
      <c r="C168" s="243"/>
      <c r="D168" s="243"/>
      <c r="E168" s="243"/>
      <c r="F168" s="243"/>
      <c r="G168" s="243"/>
      <c r="H168" s="243"/>
      <c r="I168" s="243"/>
      <c r="J168" s="243"/>
      <c r="K168" s="243"/>
      <c r="L168" s="243"/>
      <c r="M168" s="243"/>
      <c r="N168" s="243"/>
      <c r="O168" s="243"/>
    </row>
    <row r="169" spans="1:15">
      <c r="A169" s="243"/>
      <c r="B169" s="243"/>
      <c r="C169" s="243"/>
      <c r="D169" s="243"/>
      <c r="E169" s="243"/>
      <c r="F169" s="243"/>
      <c r="G169" s="243"/>
      <c r="H169" s="243"/>
      <c r="J169" s="243"/>
      <c r="K169" s="243"/>
      <c r="L169" s="243"/>
      <c r="M169" s="243"/>
      <c r="N169" s="243"/>
      <c r="O169" s="243"/>
    </row>
    <row r="170" spans="1:15">
      <c r="A170" s="243"/>
      <c r="B170" s="243"/>
      <c r="C170" s="243"/>
      <c r="D170" s="243"/>
      <c r="E170" s="243"/>
      <c r="F170" s="243"/>
      <c r="G170" s="243"/>
      <c r="H170" s="243"/>
      <c r="I170" s="243"/>
      <c r="J170" s="243"/>
      <c r="K170" s="243"/>
      <c r="L170" s="243"/>
      <c r="M170" s="243"/>
      <c r="N170" s="243"/>
      <c r="O170" s="243"/>
    </row>
    <row r="171" spans="1:15">
      <c r="A171" s="243"/>
      <c r="B171" s="243"/>
      <c r="C171" s="243"/>
      <c r="D171" s="243"/>
      <c r="E171" s="243"/>
      <c r="F171" s="243"/>
      <c r="G171" s="243"/>
      <c r="H171" s="243"/>
      <c r="I171" s="243"/>
      <c r="J171" s="243"/>
      <c r="K171" s="243"/>
      <c r="L171" s="243"/>
      <c r="M171" s="243"/>
      <c r="N171" s="243"/>
      <c r="O171" s="243"/>
    </row>
    <row r="172" spans="1:15">
      <c r="A172" s="243"/>
      <c r="B172" s="243"/>
      <c r="C172" s="243"/>
      <c r="D172" s="243"/>
      <c r="E172" s="243"/>
      <c r="F172" s="243"/>
      <c r="G172" s="243"/>
      <c r="H172" s="243"/>
      <c r="J172" s="243"/>
      <c r="K172" s="243"/>
      <c r="L172" s="243"/>
      <c r="M172" s="243"/>
      <c r="N172" s="243"/>
      <c r="O172" s="243"/>
    </row>
    <row r="173" spans="1:15">
      <c r="A173" s="243"/>
      <c r="B173" s="243"/>
      <c r="C173" s="243"/>
      <c r="D173" s="243"/>
      <c r="E173" s="243"/>
      <c r="F173" s="243"/>
      <c r="G173" s="243"/>
      <c r="H173" s="243"/>
      <c r="I173" s="243"/>
      <c r="J173" s="243"/>
      <c r="K173" s="243"/>
      <c r="L173" s="243"/>
      <c r="M173" s="243"/>
      <c r="N173" s="243"/>
      <c r="O173" s="243"/>
    </row>
    <row r="174" spans="1:15">
      <c r="A174" s="243"/>
      <c r="B174" s="243"/>
      <c r="C174" s="243"/>
      <c r="D174" s="243"/>
      <c r="E174" s="243"/>
      <c r="F174" s="243"/>
      <c r="G174" s="243"/>
      <c r="H174" s="243"/>
      <c r="I174" s="243"/>
      <c r="J174" s="243"/>
      <c r="K174" s="243"/>
      <c r="L174" s="243"/>
      <c r="M174" s="243"/>
      <c r="N174" s="243"/>
      <c r="O174" s="243"/>
    </row>
    <row r="175" spans="1:15">
      <c r="A175" s="243"/>
      <c r="B175" s="243"/>
      <c r="C175" s="243"/>
      <c r="D175" s="243"/>
      <c r="E175" s="243"/>
      <c r="F175" s="243"/>
      <c r="G175" s="243"/>
      <c r="H175" s="243"/>
      <c r="I175" s="243"/>
      <c r="J175" s="243"/>
      <c r="K175" s="243"/>
      <c r="L175" s="243"/>
      <c r="M175" s="243"/>
      <c r="N175" s="243"/>
      <c r="O175" s="243"/>
    </row>
    <row r="176" spans="1:15">
      <c r="A176" s="243"/>
      <c r="B176" s="243"/>
      <c r="C176" s="243"/>
      <c r="D176" s="243"/>
      <c r="E176" s="243"/>
      <c r="F176" s="243"/>
      <c r="G176" s="243"/>
      <c r="H176" s="243"/>
      <c r="I176" s="243"/>
      <c r="J176" s="243"/>
      <c r="K176" s="243"/>
      <c r="L176" s="243"/>
      <c r="M176" s="243"/>
      <c r="N176" s="243"/>
      <c r="O176" s="243"/>
    </row>
    <row r="177" spans="1:15">
      <c r="A177" s="243"/>
      <c r="B177" s="243"/>
      <c r="C177" s="243"/>
      <c r="D177" s="243"/>
      <c r="E177" s="243"/>
      <c r="F177" s="243"/>
      <c r="G177" s="243"/>
      <c r="H177" s="243"/>
      <c r="I177" s="243"/>
      <c r="J177" s="243"/>
      <c r="K177" s="243"/>
      <c r="L177" s="243"/>
      <c r="M177" s="243"/>
      <c r="N177" s="243"/>
      <c r="O177" s="243"/>
    </row>
    <row r="178" spans="1:15">
      <c r="A178" s="243"/>
      <c r="B178" s="243"/>
      <c r="C178" s="243"/>
      <c r="D178" s="243"/>
      <c r="E178" s="243"/>
      <c r="F178" s="243"/>
      <c r="G178" s="243"/>
      <c r="H178" s="243"/>
      <c r="I178" s="243"/>
      <c r="J178" s="243"/>
      <c r="K178" s="243"/>
      <c r="L178" s="243"/>
      <c r="M178" s="243"/>
      <c r="N178" s="243"/>
      <c r="O178" s="243"/>
    </row>
    <row r="179" spans="1:15">
      <c r="A179" s="243"/>
      <c r="B179" s="243"/>
      <c r="C179" s="243"/>
      <c r="D179" s="243"/>
      <c r="E179" s="243"/>
      <c r="F179" s="243"/>
      <c r="G179" s="243"/>
      <c r="H179" s="243"/>
      <c r="I179" s="243"/>
      <c r="J179" s="243"/>
      <c r="K179" s="243"/>
      <c r="L179" s="243"/>
      <c r="M179" s="243"/>
      <c r="N179" s="243"/>
      <c r="O179" s="243"/>
    </row>
    <row r="180" spans="1:15">
      <c r="A180" s="243"/>
      <c r="B180" s="243"/>
      <c r="C180" s="243"/>
      <c r="D180" s="243"/>
      <c r="E180" s="243"/>
      <c r="F180" s="243"/>
      <c r="G180" s="243"/>
      <c r="H180" s="243"/>
      <c r="I180" s="243"/>
      <c r="J180" s="243"/>
      <c r="K180" s="243"/>
      <c r="L180" s="243"/>
      <c r="M180" s="243"/>
      <c r="N180" s="243"/>
      <c r="O180" s="243"/>
    </row>
    <row r="181" spans="1:15">
      <c r="A181" s="243"/>
      <c r="B181" s="243"/>
      <c r="C181" s="243"/>
      <c r="D181" s="243"/>
      <c r="E181" s="243"/>
      <c r="F181" s="243"/>
      <c r="G181" s="243"/>
      <c r="H181" s="243"/>
      <c r="J181" s="243"/>
      <c r="K181" s="243"/>
      <c r="L181" s="243"/>
      <c r="M181" s="243"/>
      <c r="N181" s="243"/>
      <c r="O181" s="243"/>
    </row>
    <row r="182" spans="1:15">
      <c r="A182" s="243"/>
      <c r="B182" s="243"/>
      <c r="C182" s="243"/>
      <c r="D182" s="243"/>
      <c r="E182" s="243"/>
      <c r="F182" s="243"/>
      <c r="G182" s="243"/>
      <c r="H182" s="243"/>
      <c r="I182" s="243"/>
      <c r="J182" s="243"/>
      <c r="K182" s="243"/>
      <c r="L182" s="243"/>
      <c r="M182" s="243"/>
      <c r="N182" s="243"/>
      <c r="O182" s="243"/>
    </row>
    <row r="183" spans="1:15">
      <c r="A183" s="243"/>
      <c r="B183" s="243"/>
      <c r="C183" s="243"/>
      <c r="D183" s="243"/>
      <c r="E183" s="243"/>
      <c r="F183" s="243"/>
      <c r="G183" s="243"/>
      <c r="H183" s="243"/>
      <c r="I183" s="243"/>
      <c r="J183" s="243"/>
      <c r="K183" s="243"/>
      <c r="L183" s="243"/>
      <c r="M183" s="243"/>
      <c r="N183" s="243"/>
      <c r="O183" s="243"/>
    </row>
    <row r="184" spans="1:15">
      <c r="A184" s="243"/>
      <c r="B184" s="243"/>
      <c r="C184" s="243"/>
      <c r="D184" s="243"/>
      <c r="E184" s="243"/>
      <c r="F184" s="243"/>
      <c r="G184" s="243"/>
      <c r="H184" s="243"/>
      <c r="I184" s="243"/>
      <c r="J184" s="243"/>
      <c r="K184" s="243"/>
      <c r="L184" s="243"/>
      <c r="M184" s="243"/>
      <c r="N184" s="243"/>
      <c r="O184" s="243"/>
    </row>
    <row r="185" spans="1:15">
      <c r="A185" s="243"/>
      <c r="B185" s="243"/>
      <c r="C185" s="243"/>
      <c r="D185" s="243"/>
      <c r="E185" s="243"/>
      <c r="F185" s="243"/>
      <c r="G185" s="243"/>
      <c r="H185" s="243"/>
      <c r="I185" s="243"/>
      <c r="J185" s="243"/>
      <c r="K185" s="243"/>
      <c r="L185" s="243"/>
      <c r="M185" s="243"/>
      <c r="N185" s="243"/>
      <c r="O185" s="243"/>
    </row>
    <row r="186" spans="1:15">
      <c r="A186" s="243"/>
      <c r="B186" s="243"/>
      <c r="C186" s="243"/>
      <c r="D186" s="243"/>
      <c r="E186" s="243"/>
      <c r="F186" s="243"/>
      <c r="G186" s="243"/>
      <c r="H186" s="243"/>
      <c r="J186" s="243"/>
      <c r="K186" s="243"/>
      <c r="L186" s="243"/>
      <c r="M186" s="243"/>
      <c r="N186" s="243"/>
      <c r="O186" s="243"/>
    </row>
    <row r="187" spans="1:15">
      <c r="A187" s="243"/>
      <c r="B187" s="243"/>
      <c r="C187" s="243"/>
      <c r="D187" s="243"/>
      <c r="E187" s="243"/>
      <c r="F187" s="243"/>
      <c r="G187" s="243"/>
      <c r="H187" s="243"/>
      <c r="I187" s="243"/>
      <c r="J187" s="243"/>
      <c r="K187" s="243"/>
      <c r="L187" s="243"/>
      <c r="M187" s="243"/>
      <c r="N187" s="243"/>
      <c r="O187" s="243"/>
    </row>
    <row r="188" spans="1:15">
      <c r="A188" s="243"/>
      <c r="B188" s="243"/>
      <c r="C188" s="243"/>
      <c r="D188" s="243"/>
      <c r="E188" s="243"/>
      <c r="F188" s="243"/>
      <c r="G188" s="243"/>
      <c r="H188" s="243"/>
      <c r="I188" s="243"/>
      <c r="J188" s="243"/>
      <c r="K188" s="243"/>
      <c r="L188" s="243"/>
      <c r="M188" s="243"/>
      <c r="N188" s="243"/>
      <c r="O188" s="243"/>
    </row>
    <row r="189" spans="1:15">
      <c r="A189" s="243"/>
      <c r="B189" s="243"/>
      <c r="C189" s="243"/>
      <c r="D189" s="243"/>
      <c r="E189" s="243"/>
      <c r="F189" s="243"/>
      <c r="G189" s="243"/>
      <c r="H189" s="243"/>
      <c r="I189" s="243"/>
      <c r="J189" s="243"/>
      <c r="K189" s="243"/>
      <c r="L189" s="243"/>
      <c r="M189" s="243"/>
      <c r="N189" s="243"/>
      <c r="O189" s="243"/>
    </row>
    <row r="190" spans="1:15">
      <c r="A190" s="243"/>
      <c r="B190" s="243"/>
      <c r="C190" s="243"/>
      <c r="D190" s="243"/>
      <c r="E190" s="243"/>
      <c r="F190" s="243"/>
      <c r="G190" s="243"/>
      <c r="H190" s="243"/>
      <c r="J190" s="243"/>
      <c r="K190" s="243"/>
      <c r="L190" s="243"/>
      <c r="M190" s="243"/>
      <c r="N190" s="243"/>
      <c r="O190" s="243"/>
    </row>
    <row r="191" spans="1:15">
      <c r="A191" s="243"/>
      <c r="B191" s="243"/>
      <c r="C191" s="243"/>
      <c r="D191" s="243"/>
      <c r="E191" s="243"/>
      <c r="F191" s="243"/>
      <c r="G191" s="243"/>
      <c r="H191" s="243"/>
      <c r="I191" s="243"/>
      <c r="J191" s="243"/>
      <c r="K191" s="243"/>
      <c r="L191" s="243"/>
      <c r="M191" s="243"/>
      <c r="N191" s="243"/>
      <c r="O191" s="243"/>
    </row>
    <row r="192" spans="1:15">
      <c r="A192" s="243"/>
      <c r="B192" s="243"/>
      <c r="C192" s="243"/>
      <c r="D192" s="243"/>
      <c r="E192" s="243"/>
      <c r="F192" s="243"/>
      <c r="G192" s="243"/>
      <c r="H192" s="243"/>
      <c r="I192" s="243"/>
      <c r="J192" s="243"/>
      <c r="K192" s="243"/>
      <c r="L192" s="243"/>
      <c r="M192" s="243"/>
      <c r="N192" s="243"/>
      <c r="O192" s="243"/>
    </row>
    <row r="193" spans="1:15">
      <c r="A193" s="243"/>
      <c r="B193" s="243"/>
      <c r="C193" s="243"/>
      <c r="D193" s="243"/>
      <c r="E193" s="243"/>
      <c r="F193" s="243"/>
      <c r="G193" s="243"/>
      <c r="H193" s="243"/>
      <c r="J193" s="243"/>
      <c r="K193" s="243"/>
      <c r="L193" s="243"/>
      <c r="M193" s="243"/>
      <c r="N193" s="243"/>
      <c r="O193" s="243"/>
    </row>
    <row r="194" spans="1:15">
      <c r="A194" s="243"/>
      <c r="B194" s="243"/>
      <c r="C194" s="243"/>
      <c r="D194" s="243"/>
      <c r="E194" s="243"/>
      <c r="F194" s="243"/>
      <c r="G194" s="243"/>
      <c r="H194" s="243"/>
      <c r="I194" s="243"/>
      <c r="J194" s="243"/>
      <c r="K194" s="243"/>
      <c r="L194" s="243"/>
      <c r="M194" s="243"/>
      <c r="N194" s="243"/>
      <c r="O194" s="243"/>
    </row>
    <row r="195" spans="1:15">
      <c r="A195" s="243"/>
      <c r="B195" s="243"/>
      <c r="C195" s="243"/>
      <c r="D195" s="243"/>
      <c r="E195" s="243"/>
      <c r="F195" s="243"/>
      <c r="G195" s="243"/>
      <c r="H195" s="243"/>
      <c r="I195" s="243"/>
      <c r="J195" s="243"/>
      <c r="K195" s="243"/>
      <c r="L195" s="243"/>
      <c r="M195" s="243"/>
      <c r="N195" s="243"/>
      <c r="O195" s="243"/>
    </row>
    <row r="196" spans="1:15">
      <c r="A196" s="243"/>
      <c r="B196" s="243"/>
      <c r="C196" s="243"/>
      <c r="D196" s="243"/>
      <c r="E196" s="243"/>
      <c r="F196" s="243"/>
      <c r="G196" s="243"/>
      <c r="H196" s="243"/>
      <c r="I196" s="243"/>
      <c r="J196" s="243"/>
      <c r="K196" s="243"/>
      <c r="L196" s="243"/>
      <c r="M196" s="243"/>
      <c r="N196" s="243"/>
      <c r="O196" s="243"/>
    </row>
    <row r="197" spans="1:15">
      <c r="A197" s="243"/>
      <c r="B197" s="243"/>
      <c r="C197" s="243"/>
      <c r="D197" s="243"/>
      <c r="E197" s="243"/>
      <c r="F197" s="243"/>
      <c r="G197" s="243"/>
      <c r="H197" s="243"/>
      <c r="I197" s="243"/>
      <c r="J197" s="243"/>
      <c r="K197" s="243"/>
      <c r="L197" s="243"/>
      <c r="M197" s="243"/>
      <c r="N197" s="243"/>
      <c r="O197" s="243"/>
    </row>
    <row r="198" spans="1:15">
      <c r="A198" s="243"/>
      <c r="B198" s="243"/>
      <c r="C198" s="243"/>
      <c r="D198" s="243"/>
      <c r="E198" s="243"/>
      <c r="F198" s="243"/>
      <c r="G198" s="243"/>
      <c r="H198" s="243"/>
      <c r="J198" s="243"/>
      <c r="K198" s="243"/>
      <c r="L198" s="243"/>
      <c r="M198" s="243"/>
      <c r="N198" s="243"/>
      <c r="O198" s="243"/>
    </row>
    <row r="199" spans="1:15">
      <c r="A199" s="243"/>
      <c r="B199" s="243"/>
      <c r="C199" s="243"/>
      <c r="D199" s="243"/>
      <c r="E199" s="243"/>
      <c r="F199" s="243"/>
      <c r="G199" s="243"/>
      <c r="H199" s="243"/>
      <c r="I199" s="243"/>
      <c r="J199" s="243"/>
      <c r="K199" s="243"/>
      <c r="L199" s="243"/>
      <c r="M199" s="243"/>
      <c r="N199" s="243"/>
      <c r="O199" s="243"/>
    </row>
    <row r="200" spans="1:15">
      <c r="A200" s="243"/>
      <c r="B200" s="243"/>
      <c r="C200" s="243"/>
      <c r="D200" s="243"/>
      <c r="E200" s="243"/>
      <c r="F200" s="243"/>
      <c r="G200" s="243"/>
      <c r="H200" s="243"/>
      <c r="I200" s="243"/>
      <c r="J200" s="243"/>
      <c r="K200" s="243"/>
      <c r="L200" s="243"/>
      <c r="M200" s="243"/>
      <c r="N200" s="243"/>
      <c r="O200" s="243"/>
    </row>
    <row r="201" spans="1:15">
      <c r="A201" s="243"/>
      <c r="B201" s="243"/>
      <c r="C201" s="243"/>
      <c r="D201" s="243"/>
      <c r="E201" s="243"/>
      <c r="F201" s="243"/>
      <c r="G201" s="243"/>
      <c r="H201" s="243"/>
      <c r="I201" s="243"/>
      <c r="J201" s="243"/>
      <c r="K201" s="243"/>
      <c r="L201" s="243"/>
      <c r="M201" s="243"/>
      <c r="N201" s="243"/>
      <c r="O201" s="243"/>
    </row>
    <row r="202" spans="1:15">
      <c r="A202" s="243"/>
      <c r="B202" s="243"/>
      <c r="C202" s="243"/>
      <c r="D202" s="243"/>
      <c r="E202" s="243"/>
      <c r="F202" s="243"/>
      <c r="G202" s="243"/>
      <c r="H202" s="243"/>
      <c r="I202" s="243"/>
      <c r="J202" s="243"/>
      <c r="K202" s="243"/>
      <c r="L202" s="243"/>
      <c r="M202" s="243"/>
      <c r="N202" s="243"/>
      <c r="O202" s="243"/>
    </row>
    <row r="203" spans="1:15">
      <c r="A203" s="243"/>
      <c r="B203" s="243"/>
      <c r="C203" s="243"/>
      <c r="D203" s="243"/>
      <c r="E203" s="243"/>
      <c r="F203" s="243"/>
      <c r="G203" s="243"/>
      <c r="H203" s="243"/>
      <c r="I203" s="243"/>
      <c r="J203" s="243"/>
      <c r="K203" s="243"/>
      <c r="L203" s="243"/>
      <c r="M203" s="243"/>
      <c r="N203" s="243"/>
      <c r="O203" s="243"/>
    </row>
    <row r="204" spans="1:15">
      <c r="A204" s="243"/>
      <c r="B204" s="243"/>
      <c r="C204" s="243"/>
      <c r="D204" s="243"/>
      <c r="E204" s="243"/>
      <c r="F204" s="243"/>
      <c r="G204" s="243"/>
      <c r="H204" s="243"/>
      <c r="I204" s="243"/>
      <c r="J204" s="243"/>
      <c r="K204" s="243"/>
      <c r="L204" s="243"/>
      <c r="M204" s="243"/>
      <c r="N204" s="243"/>
      <c r="O204" s="243"/>
    </row>
    <row r="205" spans="1:15">
      <c r="A205" s="243"/>
      <c r="B205" s="243"/>
      <c r="C205" s="243"/>
      <c r="D205" s="243"/>
      <c r="E205" s="243"/>
      <c r="F205" s="243"/>
      <c r="G205" s="243"/>
      <c r="H205" s="243"/>
      <c r="I205" s="243"/>
      <c r="J205" s="243"/>
      <c r="K205" s="243"/>
      <c r="L205" s="243"/>
      <c r="M205" s="243"/>
      <c r="N205" s="243"/>
      <c r="O205" s="243"/>
    </row>
    <row r="206" spans="1:15">
      <c r="A206" s="243"/>
      <c r="B206" s="243"/>
      <c r="C206" s="243"/>
      <c r="D206" s="243"/>
      <c r="E206" s="243"/>
      <c r="F206" s="243"/>
      <c r="G206" s="243"/>
      <c r="H206" s="243"/>
      <c r="I206" s="243"/>
      <c r="J206" s="243"/>
      <c r="K206" s="243"/>
      <c r="L206" s="243"/>
      <c r="M206" s="243"/>
      <c r="N206" s="243"/>
      <c r="O206" s="243"/>
    </row>
    <row r="207" spans="1:15">
      <c r="A207" s="243"/>
      <c r="B207" s="243"/>
      <c r="C207" s="243"/>
      <c r="D207" s="243"/>
      <c r="E207" s="243"/>
      <c r="F207" s="243"/>
      <c r="G207" s="243"/>
      <c r="H207" s="243"/>
      <c r="I207" s="243"/>
      <c r="J207" s="243"/>
      <c r="K207" s="243"/>
      <c r="L207" s="243"/>
      <c r="M207" s="243"/>
      <c r="N207" s="243"/>
      <c r="O207" s="243"/>
    </row>
    <row r="208" spans="1:15">
      <c r="A208" s="243"/>
      <c r="B208" s="243"/>
      <c r="C208" s="243"/>
      <c r="D208" s="243"/>
      <c r="E208" s="243"/>
      <c r="F208" s="243"/>
      <c r="G208" s="243"/>
      <c r="H208" s="243"/>
      <c r="I208" s="243"/>
      <c r="J208" s="243"/>
      <c r="K208" s="243"/>
      <c r="L208" s="243"/>
      <c r="M208" s="243"/>
      <c r="N208" s="243"/>
      <c r="O208" s="243"/>
    </row>
    <row r="209" spans="1:15">
      <c r="A209" s="243"/>
      <c r="B209" s="243"/>
      <c r="C209" s="243"/>
      <c r="D209" s="243"/>
      <c r="E209" s="243"/>
      <c r="F209" s="243"/>
      <c r="G209" s="243"/>
      <c r="H209" s="243"/>
      <c r="I209" s="243"/>
      <c r="J209" s="243"/>
      <c r="K209" s="243"/>
      <c r="L209" s="243"/>
      <c r="M209" s="243"/>
      <c r="N209" s="243"/>
      <c r="O209" s="243"/>
    </row>
    <row r="210" spans="1:15">
      <c r="A210" s="243"/>
      <c r="B210" s="243"/>
      <c r="C210" s="243"/>
      <c r="D210" s="243"/>
      <c r="E210" s="243"/>
      <c r="F210" s="243"/>
      <c r="G210" s="243"/>
      <c r="H210" s="243"/>
      <c r="I210" s="243"/>
      <c r="J210" s="243"/>
      <c r="K210" s="243"/>
      <c r="L210" s="243"/>
      <c r="M210" s="243"/>
      <c r="N210" s="243"/>
      <c r="O210" s="243"/>
    </row>
    <row r="211" spans="1:15">
      <c r="A211" s="243"/>
      <c r="B211" s="243"/>
      <c r="C211" s="243"/>
      <c r="D211" s="243"/>
      <c r="E211" s="243"/>
      <c r="F211" s="243"/>
      <c r="G211" s="243"/>
      <c r="H211" s="243"/>
      <c r="I211" s="243"/>
      <c r="J211" s="243"/>
      <c r="K211" s="243"/>
      <c r="L211" s="243"/>
      <c r="M211" s="243"/>
      <c r="N211" s="243"/>
      <c r="O211" s="243"/>
    </row>
    <row r="212" spans="1:15">
      <c r="A212" s="243"/>
      <c r="B212" s="243"/>
      <c r="C212" s="243"/>
      <c r="D212" s="243"/>
      <c r="E212" s="243"/>
      <c r="F212" s="243"/>
      <c r="G212" s="243"/>
      <c r="H212" s="243"/>
      <c r="I212" s="243"/>
      <c r="J212" s="243"/>
      <c r="K212" s="243"/>
      <c r="L212" s="243"/>
      <c r="M212" s="243"/>
      <c r="N212" s="243"/>
      <c r="O212" s="243"/>
    </row>
    <row r="213" spans="1:15">
      <c r="A213" s="243"/>
      <c r="B213" s="243"/>
      <c r="C213" s="243"/>
      <c r="D213" s="243"/>
      <c r="E213" s="243"/>
      <c r="F213" s="243"/>
      <c r="G213" s="243"/>
      <c r="H213" s="243"/>
      <c r="I213" s="243"/>
      <c r="J213" s="243"/>
      <c r="K213" s="243"/>
      <c r="L213" s="243"/>
      <c r="M213" s="243"/>
      <c r="N213" s="243"/>
      <c r="O213" s="243"/>
    </row>
    <row r="214" spans="1:15">
      <c r="A214" s="243"/>
      <c r="B214" s="243"/>
      <c r="C214" s="243"/>
      <c r="D214" s="243"/>
      <c r="E214" s="243"/>
      <c r="F214" s="243"/>
      <c r="G214" s="243"/>
      <c r="H214" s="243"/>
      <c r="I214" s="243"/>
      <c r="J214" s="243"/>
      <c r="K214" s="243"/>
      <c r="L214" s="243"/>
      <c r="M214" s="243"/>
      <c r="N214" s="243"/>
      <c r="O214" s="243"/>
    </row>
    <row r="215" spans="1:15">
      <c r="A215" s="243"/>
      <c r="B215" s="243"/>
      <c r="C215" s="243"/>
      <c r="D215" s="243"/>
      <c r="E215" s="243"/>
      <c r="F215" s="243"/>
      <c r="G215" s="243"/>
      <c r="H215" s="243"/>
      <c r="I215" s="243"/>
      <c r="J215" s="243"/>
      <c r="K215" s="243"/>
      <c r="L215" s="243"/>
      <c r="M215" s="243"/>
      <c r="N215" s="243"/>
      <c r="O215" s="243"/>
    </row>
    <row r="216" spans="1:15">
      <c r="A216" s="243"/>
      <c r="B216" s="243"/>
      <c r="C216" s="243"/>
      <c r="D216" s="243"/>
      <c r="E216" s="243"/>
      <c r="F216" s="243"/>
      <c r="G216" s="243"/>
      <c r="H216" s="243"/>
      <c r="I216" s="243"/>
      <c r="J216" s="243"/>
      <c r="K216" s="243"/>
      <c r="L216" s="243"/>
      <c r="M216" s="243"/>
      <c r="N216" s="243"/>
      <c r="O216" s="243"/>
    </row>
    <row r="217" spans="1:15">
      <c r="A217" s="243"/>
      <c r="B217" s="243"/>
      <c r="C217" s="243"/>
      <c r="D217" s="243"/>
      <c r="E217" s="243"/>
      <c r="F217" s="243"/>
      <c r="G217" s="243"/>
      <c r="H217" s="243"/>
      <c r="J217" s="243"/>
      <c r="K217" s="243"/>
      <c r="L217" s="243"/>
      <c r="M217" s="243"/>
      <c r="N217" s="243"/>
      <c r="O217" s="243"/>
    </row>
    <row r="218" spans="1:15">
      <c r="A218" s="243"/>
      <c r="B218" s="243"/>
      <c r="C218" s="243"/>
      <c r="D218" s="243"/>
      <c r="E218" s="243"/>
      <c r="F218" s="243"/>
      <c r="G218" s="243"/>
      <c r="H218" s="243"/>
      <c r="I218" s="243"/>
      <c r="J218" s="243"/>
      <c r="K218" s="243"/>
      <c r="L218" s="243"/>
      <c r="M218" s="243"/>
      <c r="N218" s="243"/>
      <c r="O218" s="243"/>
    </row>
    <row r="219" spans="1:15">
      <c r="A219" s="243"/>
      <c r="B219" s="243"/>
      <c r="C219" s="243"/>
      <c r="D219" s="243"/>
      <c r="E219" s="243"/>
      <c r="F219" s="243"/>
      <c r="G219" s="243"/>
      <c r="H219" s="243"/>
      <c r="I219" s="243"/>
      <c r="J219" s="243"/>
      <c r="K219" s="243"/>
      <c r="L219" s="243"/>
      <c r="M219" s="243"/>
      <c r="N219" s="243"/>
      <c r="O219" s="243"/>
    </row>
    <row r="220" spans="1:15">
      <c r="A220" s="243"/>
      <c r="B220" s="243"/>
      <c r="C220" s="243"/>
      <c r="D220" s="243"/>
      <c r="E220" s="243"/>
      <c r="F220" s="243"/>
      <c r="G220" s="243"/>
      <c r="H220" s="243"/>
      <c r="I220" s="243"/>
      <c r="J220" s="243"/>
      <c r="K220" s="243"/>
      <c r="L220" s="243"/>
      <c r="M220" s="243"/>
      <c r="N220" s="243"/>
      <c r="O220" s="243"/>
    </row>
    <row r="221" spans="1:15">
      <c r="A221" s="243"/>
      <c r="B221" s="243"/>
      <c r="C221" s="243"/>
      <c r="D221" s="243"/>
      <c r="E221" s="243"/>
      <c r="F221" s="243"/>
      <c r="G221" s="243"/>
      <c r="H221" s="243"/>
      <c r="J221" s="243"/>
      <c r="K221" s="243"/>
      <c r="L221" s="243"/>
      <c r="M221" s="243"/>
      <c r="N221" s="243"/>
      <c r="O221" s="243"/>
    </row>
    <row r="222" spans="1:15">
      <c r="A222" s="243"/>
      <c r="B222" s="243"/>
      <c r="C222" s="243"/>
      <c r="D222" s="243"/>
      <c r="E222" s="243"/>
      <c r="F222" s="243"/>
      <c r="G222" s="243"/>
      <c r="H222" s="243"/>
      <c r="J222" s="243"/>
      <c r="K222" s="243"/>
      <c r="L222" s="243"/>
      <c r="M222" s="243"/>
      <c r="N222" s="243"/>
      <c r="O222" s="243"/>
    </row>
    <row r="223" spans="1:15">
      <c r="A223" s="243"/>
      <c r="B223" s="243"/>
      <c r="C223" s="243"/>
      <c r="D223" s="243"/>
      <c r="E223" s="243"/>
      <c r="F223" s="243"/>
      <c r="G223" s="243"/>
      <c r="H223" s="243"/>
      <c r="I223" s="243"/>
      <c r="J223" s="243"/>
      <c r="K223" s="243"/>
      <c r="L223" s="243"/>
      <c r="M223" s="243"/>
      <c r="N223" s="243"/>
      <c r="O223" s="243"/>
    </row>
    <row r="224" spans="1:15">
      <c r="A224" s="243"/>
      <c r="B224" s="243"/>
      <c r="C224" s="243"/>
      <c r="D224" s="243"/>
      <c r="E224" s="243"/>
      <c r="F224" s="243"/>
      <c r="G224" s="243"/>
      <c r="H224" s="243"/>
      <c r="I224" s="243"/>
      <c r="J224" s="243"/>
      <c r="K224" s="243"/>
      <c r="L224" s="243"/>
      <c r="M224" s="243"/>
      <c r="N224" s="243"/>
      <c r="O224" s="243"/>
    </row>
    <row r="225" spans="1:15">
      <c r="A225" s="243"/>
      <c r="B225" s="243"/>
      <c r="C225" s="243"/>
      <c r="D225" s="243"/>
      <c r="E225" s="243"/>
      <c r="F225" s="243"/>
      <c r="G225" s="243"/>
      <c r="H225" s="243"/>
      <c r="I225" s="243"/>
      <c r="J225" s="243"/>
      <c r="K225" s="243"/>
      <c r="L225" s="243"/>
      <c r="M225" s="243"/>
      <c r="N225" s="243"/>
      <c r="O225" s="243"/>
    </row>
    <row r="226" spans="1:15">
      <c r="A226" s="243"/>
      <c r="B226" s="243"/>
      <c r="C226" s="243"/>
      <c r="D226" s="243"/>
      <c r="E226" s="243"/>
      <c r="F226" s="243"/>
      <c r="G226" s="243"/>
      <c r="H226" s="243"/>
      <c r="I226" s="243"/>
      <c r="J226" s="243"/>
      <c r="K226" s="243"/>
      <c r="L226" s="243"/>
      <c r="M226" s="243"/>
      <c r="N226" s="243"/>
      <c r="O226" s="243"/>
    </row>
    <row r="227" spans="1:15">
      <c r="A227" s="243"/>
      <c r="B227" s="243"/>
      <c r="C227" s="243"/>
      <c r="D227" s="243"/>
      <c r="E227" s="243"/>
      <c r="F227" s="243"/>
      <c r="G227" s="243"/>
      <c r="H227" s="243"/>
      <c r="I227" s="243"/>
      <c r="J227" s="243"/>
      <c r="K227" s="243"/>
      <c r="L227" s="243"/>
      <c r="M227" s="243"/>
      <c r="N227" s="243"/>
      <c r="O227" s="243"/>
    </row>
    <row r="228" spans="1:15">
      <c r="A228" s="243"/>
      <c r="B228" s="243"/>
      <c r="C228" s="243"/>
      <c r="D228" s="243"/>
      <c r="E228" s="243"/>
      <c r="F228" s="243"/>
      <c r="G228" s="243"/>
      <c r="H228" s="243"/>
      <c r="I228" s="243"/>
      <c r="J228" s="243"/>
      <c r="K228" s="243"/>
      <c r="L228" s="243"/>
      <c r="M228" s="243"/>
      <c r="N228" s="243"/>
      <c r="O228" s="243"/>
    </row>
    <row r="229" spans="1:15">
      <c r="A229" s="243"/>
      <c r="B229" s="243"/>
      <c r="C229" s="243"/>
      <c r="D229" s="243"/>
      <c r="E229" s="243"/>
      <c r="F229" s="243"/>
      <c r="G229" s="243"/>
      <c r="H229" s="243"/>
      <c r="I229" s="243"/>
      <c r="J229" s="243"/>
      <c r="K229" s="243"/>
      <c r="L229" s="243"/>
      <c r="M229" s="243"/>
      <c r="N229" s="243"/>
      <c r="O229" s="243"/>
    </row>
    <row r="230" spans="1:15">
      <c r="A230" s="243"/>
      <c r="B230" s="243"/>
      <c r="C230" s="243"/>
      <c r="D230" s="243"/>
      <c r="E230" s="243"/>
      <c r="F230" s="243"/>
      <c r="G230" s="243"/>
      <c r="H230" s="243"/>
      <c r="J230" s="243"/>
      <c r="K230" s="243"/>
      <c r="L230" s="243"/>
      <c r="M230" s="243"/>
      <c r="N230" s="243"/>
      <c r="O230" s="243"/>
    </row>
    <row r="231" spans="1:15">
      <c r="A231" s="243"/>
      <c r="B231" s="243"/>
      <c r="C231" s="243"/>
      <c r="D231" s="243"/>
      <c r="E231" s="243"/>
      <c r="F231" s="243"/>
      <c r="G231" s="243"/>
      <c r="H231" s="243"/>
      <c r="I231" s="243"/>
      <c r="J231" s="243"/>
      <c r="K231" s="243"/>
      <c r="L231" s="243"/>
      <c r="M231" s="243"/>
      <c r="N231" s="243"/>
      <c r="O231" s="243"/>
    </row>
    <row r="232" spans="1:15">
      <c r="A232" s="243"/>
      <c r="B232" s="243"/>
      <c r="C232" s="243"/>
      <c r="D232" s="243"/>
      <c r="E232" s="243"/>
      <c r="F232" s="243"/>
      <c r="G232" s="243"/>
      <c r="H232" s="243"/>
      <c r="I232" s="243"/>
      <c r="J232" s="243"/>
      <c r="K232" s="243"/>
      <c r="L232" s="243"/>
      <c r="M232" s="243"/>
      <c r="N232" s="243"/>
      <c r="O232" s="243"/>
    </row>
    <row r="233" spans="1:15">
      <c r="A233" s="243"/>
      <c r="B233" s="243"/>
      <c r="C233" s="243"/>
      <c r="D233" s="243"/>
      <c r="E233" s="243"/>
      <c r="F233" s="243"/>
      <c r="G233" s="243"/>
      <c r="H233" s="243"/>
      <c r="I233" s="243"/>
      <c r="J233" s="243"/>
      <c r="K233" s="243"/>
      <c r="L233" s="243"/>
      <c r="M233" s="243"/>
      <c r="N233" s="243"/>
      <c r="O233" s="243"/>
    </row>
    <row r="234" spans="1:15">
      <c r="A234" s="243"/>
      <c r="B234" s="243"/>
      <c r="C234" s="243"/>
      <c r="D234" s="243"/>
      <c r="E234" s="243"/>
      <c r="F234" s="243"/>
      <c r="G234" s="243"/>
      <c r="H234" s="243"/>
      <c r="I234" s="243"/>
      <c r="J234" s="243"/>
      <c r="K234" s="243"/>
      <c r="L234" s="243"/>
      <c r="M234" s="243"/>
      <c r="N234" s="243"/>
      <c r="O234" s="243"/>
    </row>
    <row r="235" spans="1:15">
      <c r="A235" s="243"/>
      <c r="B235" s="243"/>
      <c r="C235" s="243"/>
      <c r="D235" s="243"/>
      <c r="E235" s="243"/>
      <c r="F235" s="243"/>
      <c r="G235" s="243"/>
      <c r="H235" s="243"/>
      <c r="I235" s="243"/>
      <c r="J235" s="243"/>
      <c r="K235" s="243"/>
      <c r="L235" s="243"/>
      <c r="M235" s="243"/>
      <c r="N235" s="243"/>
      <c r="O235" s="243"/>
    </row>
    <row r="236" spans="1:15">
      <c r="A236" s="243"/>
      <c r="B236" s="243"/>
      <c r="C236" s="243"/>
      <c r="D236" s="243"/>
      <c r="E236" s="243"/>
      <c r="F236" s="243"/>
      <c r="G236" s="243"/>
      <c r="H236" s="243"/>
      <c r="I236" s="243"/>
      <c r="J236" s="243"/>
      <c r="K236" s="243"/>
      <c r="L236" s="243"/>
      <c r="M236" s="243"/>
      <c r="N236" s="243"/>
      <c r="O236" s="243"/>
    </row>
    <row r="237" spans="1:15">
      <c r="A237" s="243"/>
      <c r="B237" s="243"/>
      <c r="C237" s="243"/>
      <c r="D237" s="243"/>
      <c r="E237" s="243"/>
      <c r="F237" s="243"/>
      <c r="G237" s="243"/>
      <c r="H237" s="243"/>
      <c r="I237" s="243"/>
      <c r="J237" s="243"/>
      <c r="K237" s="243"/>
      <c r="L237" s="243"/>
      <c r="M237" s="243"/>
      <c r="N237" s="243"/>
      <c r="O237" s="243"/>
    </row>
    <row r="238" spans="1:15">
      <c r="A238" s="243"/>
      <c r="B238" s="243"/>
      <c r="C238" s="243"/>
      <c r="D238" s="243"/>
      <c r="E238" s="243"/>
      <c r="F238" s="243"/>
      <c r="G238" s="243"/>
      <c r="H238" s="243"/>
      <c r="I238" s="243"/>
      <c r="J238" s="243"/>
      <c r="K238" s="243"/>
      <c r="L238" s="243"/>
      <c r="M238" s="243"/>
      <c r="N238" s="243"/>
      <c r="O238" s="243"/>
    </row>
    <row r="239" spans="1:15">
      <c r="A239" s="243"/>
      <c r="B239" s="243"/>
      <c r="C239" s="243"/>
      <c r="D239" s="243"/>
      <c r="E239" s="243"/>
      <c r="F239" s="243"/>
      <c r="G239" s="243"/>
      <c r="H239" s="243"/>
      <c r="I239" s="243"/>
      <c r="J239" s="243"/>
      <c r="K239" s="243"/>
      <c r="L239" s="243"/>
      <c r="M239" s="243"/>
      <c r="N239" s="243"/>
      <c r="O239" s="243"/>
    </row>
    <row r="240" spans="1:15">
      <c r="A240" s="243"/>
      <c r="B240" s="243"/>
      <c r="C240" s="243"/>
      <c r="D240" s="243"/>
      <c r="E240" s="243"/>
      <c r="F240" s="243"/>
      <c r="G240" s="243"/>
      <c r="H240" s="243"/>
      <c r="I240" s="243"/>
      <c r="J240" s="243"/>
      <c r="K240" s="243"/>
      <c r="L240" s="243"/>
      <c r="M240" s="243"/>
      <c r="N240" s="243"/>
      <c r="O240" s="243"/>
    </row>
    <row r="241" spans="1:15">
      <c r="A241" s="243"/>
      <c r="B241" s="243"/>
      <c r="C241" s="243"/>
      <c r="D241" s="243"/>
      <c r="E241" s="243"/>
      <c r="F241" s="243"/>
      <c r="G241" s="243"/>
      <c r="H241" s="243"/>
      <c r="I241" s="243"/>
      <c r="J241" s="243"/>
      <c r="K241" s="243"/>
      <c r="L241" s="243"/>
      <c r="M241" s="243"/>
      <c r="N241" s="243"/>
      <c r="O241" s="243"/>
    </row>
    <row r="242" spans="1:15">
      <c r="A242" s="243"/>
      <c r="B242" s="243"/>
      <c r="C242" s="243"/>
      <c r="D242" s="243"/>
      <c r="E242" s="243"/>
      <c r="F242" s="243"/>
      <c r="G242" s="243"/>
      <c r="H242" s="243"/>
      <c r="I242" s="243"/>
      <c r="J242" s="243"/>
      <c r="K242" s="243"/>
      <c r="L242" s="243"/>
      <c r="M242" s="243"/>
      <c r="N242" s="243"/>
      <c r="O242" s="243"/>
    </row>
    <row r="243" spans="1:15">
      <c r="A243" s="243"/>
      <c r="B243" s="243"/>
      <c r="C243" s="243"/>
      <c r="D243" s="243"/>
      <c r="E243" s="243"/>
      <c r="F243" s="243"/>
      <c r="G243" s="243"/>
      <c r="H243" s="243"/>
      <c r="I243" s="243"/>
      <c r="J243" s="243"/>
      <c r="K243" s="243"/>
      <c r="L243" s="243"/>
      <c r="M243" s="243"/>
      <c r="N243" s="243"/>
      <c r="O243" s="243"/>
    </row>
    <row r="244" spans="1:15">
      <c r="A244" s="243"/>
      <c r="B244" s="243"/>
      <c r="C244" s="243"/>
      <c r="D244" s="243"/>
      <c r="E244" s="243"/>
      <c r="F244" s="243"/>
      <c r="G244" s="243"/>
      <c r="H244" s="243"/>
      <c r="J244" s="243"/>
      <c r="K244" s="243"/>
      <c r="L244" s="243"/>
      <c r="M244" s="243"/>
      <c r="N244" s="243"/>
      <c r="O244" s="243"/>
    </row>
    <row r="245" spans="1:15">
      <c r="A245" s="243"/>
      <c r="B245" s="243"/>
      <c r="C245" s="243"/>
      <c r="D245" s="243"/>
      <c r="E245" s="243"/>
      <c r="F245" s="243"/>
      <c r="G245" s="243"/>
      <c r="H245" s="243"/>
      <c r="I245" s="243"/>
      <c r="J245" s="243"/>
      <c r="K245" s="243"/>
      <c r="L245" s="243"/>
      <c r="M245" s="243"/>
      <c r="N245" s="243"/>
      <c r="O245" s="243"/>
    </row>
    <row r="246" spans="1:15">
      <c r="A246" s="243"/>
      <c r="B246" s="243"/>
      <c r="C246" s="243"/>
      <c r="D246" s="243"/>
      <c r="E246" s="243"/>
      <c r="F246" s="243"/>
      <c r="G246" s="243"/>
      <c r="H246" s="243"/>
      <c r="J246" s="243"/>
      <c r="K246" s="243"/>
      <c r="L246" s="243"/>
      <c r="M246" s="243"/>
      <c r="N246" s="243"/>
      <c r="O246" s="243"/>
    </row>
    <row r="247" spans="1:15">
      <c r="A247" s="243"/>
      <c r="B247" s="243"/>
      <c r="C247" s="243"/>
      <c r="D247" s="243"/>
      <c r="E247" s="243"/>
      <c r="F247" s="243"/>
      <c r="G247" s="243"/>
      <c r="H247" s="243"/>
      <c r="I247" s="243"/>
      <c r="J247" s="243"/>
      <c r="K247" s="243"/>
      <c r="L247" s="243"/>
      <c r="M247" s="243"/>
      <c r="N247" s="243"/>
      <c r="O247" s="243"/>
    </row>
    <row r="248" spans="1:15">
      <c r="A248" s="243"/>
      <c r="B248" s="243"/>
      <c r="C248" s="243"/>
      <c r="D248" s="243"/>
      <c r="E248" s="243"/>
      <c r="F248" s="243"/>
      <c r="G248" s="243"/>
      <c r="H248" s="243"/>
      <c r="I248" s="243"/>
      <c r="J248" s="243"/>
      <c r="K248" s="243"/>
      <c r="L248" s="243"/>
      <c r="M248" s="243"/>
      <c r="N248" s="243"/>
      <c r="O248" s="243"/>
    </row>
    <row r="249" spans="1:15">
      <c r="A249" s="243"/>
      <c r="B249" s="243"/>
      <c r="C249" s="243"/>
      <c r="D249" s="243"/>
      <c r="E249" s="243"/>
      <c r="F249" s="243"/>
      <c r="G249" s="243"/>
      <c r="H249" s="243"/>
      <c r="I249" s="243"/>
      <c r="J249" s="243"/>
      <c r="K249" s="243"/>
      <c r="L249" s="243"/>
      <c r="M249" s="243"/>
      <c r="N249" s="243"/>
      <c r="O249" s="243"/>
    </row>
    <row r="250" spans="1:15">
      <c r="A250" s="243"/>
      <c r="B250" s="243"/>
      <c r="C250" s="243"/>
      <c r="D250" s="243"/>
      <c r="E250" s="243"/>
      <c r="F250" s="243"/>
      <c r="G250" s="243"/>
      <c r="H250" s="243"/>
      <c r="I250" s="243"/>
      <c r="J250" s="243"/>
      <c r="K250" s="243"/>
      <c r="L250" s="243"/>
      <c r="M250" s="243"/>
      <c r="N250" s="243"/>
      <c r="O250" s="243"/>
    </row>
    <row r="251" spans="1:15">
      <c r="A251" s="243"/>
      <c r="B251" s="243"/>
      <c r="C251" s="243"/>
      <c r="D251" s="243"/>
      <c r="E251" s="243"/>
      <c r="F251" s="243"/>
      <c r="G251" s="243"/>
      <c r="H251" s="243"/>
      <c r="I251" s="243"/>
      <c r="J251" s="243"/>
      <c r="K251" s="243"/>
      <c r="L251" s="243"/>
      <c r="M251" s="243"/>
      <c r="N251" s="243"/>
      <c r="O251" s="243"/>
    </row>
    <row r="252" spans="1:15">
      <c r="A252" s="243"/>
      <c r="B252" s="243"/>
      <c r="C252" s="243"/>
      <c r="D252" s="243"/>
      <c r="E252" s="243"/>
      <c r="F252" s="243"/>
      <c r="G252" s="243"/>
      <c r="H252" s="243"/>
      <c r="I252" s="243"/>
      <c r="J252" s="243"/>
      <c r="K252" s="243"/>
      <c r="L252" s="243"/>
      <c r="M252" s="243"/>
      <c r="N252" s="243"/>
      <c r="O252" s="243"/>
    </row>
    <row r="253" spans="1:15">
      <c r="A253" s="243"/>
      <c r="B253" s="243"/>
      <c r="C253" s="243"/>
      <c r="D253" s="243"/>
      <c r="E253" s="243"/>
      <c r="F253" s="243"/>
      <c r="G253" s="243"/>
      <c r="H253" s="243"/>
      <c r="I253" s="243"/>
      <c r="J253" s="243"/>
      <c r="K253" s="243"/>
      <c r="L253" s="243"/>
      <c r="M253" s="243"/>
      <c r="N253" s="243"/>
      <c r="O253" s="243"/>
    </row>
    <row r="254" spans="1:15">
      <c r="A254" s="243"/>
      <c r="B254" s="243"/>
      <c r="C254" s="243"/>
      <c r="D254" s="243"/>
      <c r="E254" s="243"/>
      <c r="F254" s="243"/>
      <c r="G254" s="243"/>
      <c r="H254" s="243"/>
      <c r="I254" s="243"/>
      <c r="J254" s="243"/>
      <c r="K254" s="243"/>
      <c r="L254" s="243"/>
      <c r="M254" s="243"/>
      <c r="N254" s="243"/>
      <c r="O254" s="243"/>
    </row>
    <row r="255" spans="1:15">
      <c r="A255" s="243"/>
      <c r="B255" s="243"/>
      <c r="C255" s="243"/>
      <c r="D255" s="243"/>
      <c r="E255" s="243"/>
      <c r="F255" s="243"/>
      <c r="G255" s="243"/>
      <c r="H255" s="243"/>
      <c r="I255" s="243"/>
      <c r="J255" s="243"/>
      <c r="K255" s="243"/>
      <c r="L255" s="243"/>
      <c r="M255" s="243"/>
      <c r="N255" s="243"/>
      <c r="O255" s="243"/>
    </row>
    <row r="256" spans="1:15">
      <c r="A256" s="243"/>
      <c r="B256" s="243"/>
      <c r="C256" s="243"/>
      <c r="D256" s="243"/>
      <c r="E256" s="243"/>
      <c r="F256" s="243"/>
      <c r="G256" s="243"/>
      <c r="H256" s="243"/>
      <c r="I256" s="243"/>
      <c r="J256" s="243"/>
      <c r="K256" s="243"/>
      <c r="L256" s="243"/>
      <c r="M256" s="243"/>
      <c r="N256" s="243"/>
      <c r="O256" s="243"/>
    </row>
    <row r="257" spans="1:15">
      <c r="A257" s="243"/>
      <c r="B257" s="243"/>
      <c r="C257" s="243"/>
      <c r="D257" s="243"/>
      <c r="E257" s="243"/>
      <c r="F257" s="243"/>
      <c r="G257" s="243"/>
      <c r="H257" s="243"/>
      <c r="I257" s="243"/>
      <c r="J257" s="243"/>
      <c r="K257" s="243"/>
      <c r="L257" s="243"/>
      <c r="M257" s="243"/>
      <c r="N257" s="243"/>
      <c r="O257" s="243"/>
    </row>
    <row r="258" spans="1:15">
      <c r="A258" s="243"/>
      <c r="B258" s="243"/>
      <c r="C258" s="243"/>
      <c r="D258" s="243"/>
      <c r="E258" s="243"/>
      <c r="F258" s="243"/>
      <c r="G258" s="243"/>
      <c r="H258" s="243"/>
      <c r="I258" s="243"/>
      <c r="J258" s="243"/>
      <c r="K258" s="243"/>
      <c r="L258" s="243"/>
      <c r="M258" s="243"/>
      <c r="N258" s="243"/>
      <c r="O258" s="243"/>
    </row>
    <row r="259" spans="1:15">
      <c r="A259" s="243"/>
      <c r="B259" s="243"/>
      <c r="C259" s="243"/>
      <c r="D259" s="243"/>
      <c r="E259" s="243"/>
      <c r="F259" s="243"/>
      <c r="G259" s="243"/>
      <c r="H259" s="243"/>
      <c r="J259" s="243"/>
      <c r="K259" s="243"/>
      <c r="L259" s="243"/>
      <c r="M259" s="243"/>
      <c r="N259" s="243"/>
      <c r="O259" s="243"/>
    </row>
    <row r="260" spans="1:15">
      <c r="A260" s="243"/>
      <c r="B260" s="243"/>
      <c r="C260" s="243"/>
      <c r="D260" s="243"/>
      <c r="E260" s="243"/>
      <c r="F260" s="243"/>
      <c r="G260" s="243"/>
      <c r="H260" s="243"/>
      <c r="I260" s="243"/>
      <c r="J260" s="243"/>
      <c r="K260" s="243"/>
      <c r="L260" s="243"/>
      <c r="M260" s="243"/>
      <c r="N260" s="243"/>
      <c r="O260" s="243"/>
    </row>
    <row r="261" spans="1:15">
      <c r="A261" s="243"/>
      <c r="B261" s="243"/>
      <c r="C261" s="243"/>
      <c r="D261" s="243"/>
      <c r="E261" s="243"/>
      <c r="F261" s="243"/>
      <c r="G261" s="243"/>
      <c r="H261" s="243"/>
      <c r="I261" s="243"/>
      <c r="J261" s="243"/>
      <c r="K261" s="243"/>
      <c r="L261" s="243"/>
      <c r="M261" s="243"/>
      <c r="N261" s="243"/>
      <c r="O261" s="243"/>
    </row>
    <row r="262" spans="1:15">
      <c r="A262" s="243"/>
      <c r="B262" s="243"/>
      <c r="C262" s="243"/>
      <c r="D262" s="243"/>
      <c r="E262" s="243"/>
      <c r="F262" s="243"/>
      <c r="G262" s="243"/>
      <c r="H262" s="243"/>
      <c r="I262" s="243"/>
      <c r="J262" s="243"/>
      <c r="K262" s="243"/>
      <c r="L262" s="243"/>
      <c r="M262" s="243"/>
      <c r="N262" s="243"/>
      <c r="O262" s="243"/>
    </row>
    <row r="263" spans="1:15">
      <c r="A263" s="243"/>
      <c r="B263" s="243"/>
      <c r="C263" s="243"/>
      <c r="D263" s="243"/>
      <c r="E263" s="243"/>
      <c r="F263" s="243"/>
      <c r="G263" s="243"/>
      <c r="H263" s="243"/>
      <c r="I263" s="243"/>
      <c r="J263" s="243"/>
      <c r="K263" s="243"/>
      <c r="L263" s="243"/>
      <c r="M263" s="243"/>
      <c r="N263" s="243"/>
      <c r="O263" s="243"/>
    </row>
    <row r="264" spans="1:15">
      <c r="A264" s="243"/>
      <c r="B264" s="243"/>
      <c r="C264" s="243"/>
      <c r="D264" s="243"/>
      <c r="E264" s="243"/>
      <c r="F264" s="243"/>
      <c r="G264" s="243"/>
      <c r="H264" s="243"/>
      <c r="I264" s="243"/>
      <c r="J264" s="243"/>
      <c r="K264" s="243"/>
      <c r="L264" s="243"/>
      <c r="M264" s="243"/>
      <c r="N264" s="243"/>
      <c r="O264" s="243"/>
    </row>
    <row r="265" spans="1:15">
      <c r="A265" s="243"/>
      <c r="B265" s="243"/>
      <c r="C265" s="243"/>
      <c r="D265" s="243"/>
      <c r="E265" s="243"/>
      <c r="F265" s="243"/>
      <c r="G265" s="243"/>
      <c r="H265" s="243"/>
      <c r="I265" s="243"/>
      <c r="J265" s="243"/>
      <c r="K265" s="243"/>
      <c r="L265" s="243"/>
      <c r="M265" s="243"/>
      <c r="N265" s="243"/>
      <c r="O265" s="243"/>
    </row>
    <row r="266" spans="1:15">
      <c r="A266" s="243"/>
      <c r="B266" s="243"/>
      <c r="C266" s="243"/>
      <c r="D266" s="243"/>
      <c r="E266" s="243"/>
      <c r="F266" s="243"/>
      <c r="G266" s="243"/>
      <c r="H266" s="243"/>
      <c r="I266" s="243"/>
      <c r="J266" s="243"/>
      <c r="K266" s="243"/>
      <c r="L266" s="243"/>
      <c r="M266" s="243"/>
      <c r="N266" s="243"/>
      <c r="O266" s="243"/>
    </row>
    <row r="267" spans="1:15">
      <c r="A267" s="243"/>
      <c r="B267" s="243"/>
      <c r="C267" s="243"/>
      <c r="D267" s="243"/>
      <c r="E267" s="243"/>
      <c r="F267" s="243"/>
      <c r="G267" s="243"/>
      <c r="H267" s="243"/>
      <c r="I267" s="243"/>
      <c r="J267" s="243"/>
      <c r="K267" s="243"/>
      <c r="L267" s="243"/>
      <c r="M267" s="243"/>
      <c r="N267" s="243"/>
      <c r="O267" s="243"/>
    </row>
    <row r="268" spans="1:15">
      <c r="A268" s="243"/>
      <c r="B268" s="243"/>
      <c r="C268" s="243"/>
      <c r="D268" s="243"/>
      <c r="E268" s="243"/>
      <c r="F268" s="243"/>
      <c r="G268" s="243"/>
      <c r="H268" s="243"/>
      <c r="I268" s="243"/>
      <c r="J268" s="243"/>
      <c r="K268" s="243"/>
      <c r="L268" s="243"/>
      <c r="M268" s="243"/>
      <c r="N268" s="243"/>
      <c r="O268" s="243"/>
    </row>
    <row r="269" spans="1:15">
      <c r="A269" s="243"/>
      <c r="B269" s="243"/>
      <c r="C269" s="243"/>
      <c r="D269" s="243"/>
      <c r="E269" s="243"/>
      <c r="F269" s="243"/>
      <c r="G269" s="243"/>
      <c r="H269" s="243"/>
      <c r="I269" s="243"/>
      <c r="J269" s="243"/>
      <c r="K269" s="243"/>
      <c r="L269" s="243"/>
      <c r="M269" s="243"/>
      <c r="N269" s="243"/>
      <c r="O269" s="243"/>
    </row>
    <row r="270" spans="1:15">
      <c r="A270" s="243"/>
      <c r="B270" s="243"/>
      <c r="C270" s="243"/>
      <c r="D270" s="243"/>
      <c r="E270" s="243"/>
      <c r="F270" s="243"/>
      <c r="G270" s="243"/>
      <c r="H270" s="243"/>
      <c r="I270" s="243"/>
      <c r="J270" s="243"/>
      <c r="K270" s="243"/>
      <c r="L270" s="243"/>
      <c r="M270" s="243"/>
      <c r="N270" s="243"/>
      <c r="O270" s="243"/>
    </row>
    <row r="271" spans="1:15">
      <c r="A271" s="243"/>
      <c r="B271" s="243"/>
      <c r="C271" s="243"/>
      <c r="D271" s="243"/>
      <c r="E271" s="243"/>
      <c r="F271" s="243"/>
      <c r="G271" s="243"/>
      <c r="H271" s="243"/>
      <c r="I271" s="243"/>
      <c r="J271" s="243"/>
      <c r="K271" s="243"/>
      <c r="L271" s="243"/>
      <c r="M271" s="243"/>
      <c r="N271" s="243"/>
      <c r="O271" s="243"/>
    </row>
    <row r="272" spans="1:15">
      <c r="A272" s="243"/>
      <c r="B272" s="243"/>
      <c r="C272" s="243"/>
      <c r="D272" s="243"/>
      <c r="E272" s="243"/>
      <c r="F272" s="243"/>
      <c r="G272" s="243"/>
      <c r="H272" s="243"/>
      <c r="I272" s="243"/>
      <c r="J272" s="243"/>
      <c r="K272" s="243"/>
      <c r="L272" s="243"/>
      <c r="M272" s="243"/>
      <c r="N272" s="243"/>
      <c r="O272" s="243"/>
    </row>
    <row r="273" spans="1:15">
      <c r="A273" s="243"/>
      <c r="B273" s="243"/>
      <c r="C273" s="243"/>
      <c r="D273" s="243"/>
      <c r="E273" s="243"/>
      <c r="F273" s="243"/>
      <c r="G273" s="243"/>
      <c r="H273" s="243"/>
      <c r="I273" s="243"/>
      <c r="J273" s="243"/>
      <c r="K273" s="243"/>
      <c r="L273" s="243"/>
      <c r="M273" s="243"/>
      <c r="N273" s="243"/>
      <c r="O273" s="243"/>
    </row>
    <row r="274" spans="1:15">
      <c r="A274" s="243"/>
      <c r="B274" s="243"/>
      <c r="C274" s="243"/>
      <c r="D274" s="243"/>
      <c r="E274" s="243"/>
      <c r="F274" s="243"/>
      <c r="G274" s="243"/>
      <c r="H274" s="243"/>
      <c r="J274" s="243"/>
      <c r="K274" s="243"/>
      <c r="L274" s="243"/>
      <c r="M274" s="243"/>
      <c r="N274" s="243"/>
      <c r="O274" s="243"/>
    </row>
    <row r="275" spans="1:15">
      <c r="A275" s="243"/>
      <c r="B275" s="243"/>
      <c r="C275" s="243"/>
      <c r="D275" s="243"/>
      <c r="E275" s="243"/>
      <c r="F275" s="243"/>
      <c r="G275" s="243"/>
      <c r="H275" s="243"/>
      <c r="I275" s="243"/>
      <c r="J275" s="243"/>
      <c r="K275" s="243"/>
      <c r="L275" s="243"/>
      <c r="M275" s="243"/>
      <c r="N275" s="243"/>
      <c r="O275" s="243"/>
    </row>
    <row r="276" spans="1:15">
      <c r="A276" s="243"/>
      <c r="B276" s="243"/>
      <c r="C276" s="243"/>
      <c r="D276" s="243"/>
      <c r="E276" s="243"/>
      <c r="F276" s="243"/>
      <c r="G276" s="243"/>
      <c r="H276" s="243"/>
      <c r="I276" s="243"/>
      <c r="J276" s="243"/>
      <c r="K276" s="243"/>
      <c r="L276" s="243"/>
      <c r="M276" s="243"/>
      <c r="N276" s="243"/>
      <c r="O276" s="243"/>
    </row>
    <row r="277" spans="1:15">
      <c r="A277" s="243"/>
      <c r="B277" s="243"/>
      <c r="C277" s="243"/>
      <c r="D277" s="243"/>
      <c r="E277" s="243"/>
      <c r="F277" s="243"/>
      <c r="G277" s="243"/>
      <c r="H277" s="243"/>
      <c r="I277" s="243"/>
      <c r="J277" s="243"/>
      <c r="K277" s="243"/>
      <c r="L277" s="243"/>
      <c r="M277" s="243"/>
      <c r="N277" s="243"/>
      <c r="O277" s="243"/>
    </row>
    <row r="278" spans="1:15">
      <c r="A278" s="243"/>
      <c r="B278" s="243"/>
      <c r="C278" s="243"/>
      <c r="D278" s="243"/>
      <c r="E278" s="243"/>
      <c r="F278" s="243"/>
      <c r="G278" s="243"/>
      <c r="H278" s="243"/>
      <c r="I278" s="243"/>
      <c r="J278" s="243"/>
      <c r="K278" s="243"/>
      <c r="L278" s="243"/>
      <c r="M278" s="243"/>
      <c r="N278" s="243"/>
      <c r="O278" s="243"/>
    </row>
    <row r="279" spans="1:15">
      <c r="A279" s="243"/>
      <c r="B279" s="243"/>
      <c r="C279" s="243"/>
      <c r="D279" s="243"/>
      <c r="E279" s="243"/>
      <c r="F279" s="243"/>
      <c r="G279" s="243"/>
      <c r="H279" s="243"/>
      <c r="I279" s="243"/>
      <c r="J279" s="243"/>
      <c r="K279" s="243"/>
      <c r="L279" s="243"/>
      <c r="M279" s="243"/>
      <c r="N279" s="243"/>
      <c r="O279" s="243"/>
    </row>
    <row r="280" spans="1:15">
      <c r="A280" s="243"/>
      <c r="B280" s="243"/>
      <c r="C280" s="243"/>
      <c r="D280" s="243"/>
      <c r="E280" s="243"/>
      <c r="F280" s="243"/>
      <c r="G280" s="243"/>
      <c r="H280" s="243"/>
      <c r="I280" s="243"/>
      <c r="J280" s="243"/>
      <c r="K280" s="243"/>
      <c r="L280" s="243"/>
      <c r="M280" s="243"/>
      <c r="N280" s="243"/>
      <c r="O280" s="243"/>
    </row>
    <row r="281" spans="1:15">
      <c r="A281" s="243"/>
      <c r="B281" s="243"/>
      <c r="C281" s="243"/>
      <c r="D281" s="243"/>
      <c r="E281" s="243"/>
      <c r="F281" s="243"/>
      <c r="G281" s="243"/>
      <c r="H281" s="243"/>
      <c r="I281" s="243"/>
      <c r="J281" s="243"/>
      <c r="K281" s="243"/>
      <c r="L281" s="243"/>
      <c r="M281" s="243"/>
      <c r="N281" s="243"/>
      <c r="O281" s="243"/>
    </row>
    <row r="282" spans="1:15">
      <c r="A282" s="243"/>
      <c r="B282" s="243"/>
      <c r="C282" s="243"/>
      <c r="D282" s="243"/>
      <c r="E282" s="243"/>
      <c r="F282" s="243"/>
      <c r="G282" s="243"/>
      <c r="H282" s="243"/>
      <c r="J282" s="243"/>
      <c r="K282" s="243"/>
      <c r="L282" s="243"/>
      <c r="M282" s="243"/>
      <c r="N282" s="243"/>
      <c r="O282" s="243"/>
    </row>
    <row r="283" spans="1:15">
      <c r="A283" s="243"/>
      <c r="B283" s="243"/>
      <c r="C283" s="243"/>
      <c r="D283" s="243"/>
      <c r="E283" s="243"/>
      <c r="F283" s="243"/>
      <c r="G283" s="243"/>
      <c r="H283" s="243"/>
      <c r="I283" s="243"/>
      <c r="J283" s="243"/>
      <c r="K283" s="243"/>
      <c r="L283" s="243"/>
      <c r="M283" s="243"/>
      <c r="N283" s="243"/>
      <c r="O283" s="243"/>
    </row>
    <row r="284" spans="1:15">
      <c r="A284" s="243"/>
      <c r="B284" s="243"/>
      <c r="C284" s="243"/>
      <c r="D284" s="243"/>
      <c r="E284" s="243"/>
      <c r="F284" s="243"/>
      <c r="G284" s="243"/>
      <c r="H284" s="243"/>
      <c r="I284" s="243"/>
      <c r="J284" s="243"/>
      <c r="K284" s="243"/>
      <c r="L284" s="243"/>
      <c r="M284" s="243"/>
      <c r="N284" s="243"/>
      <c r="O284" s="243"/>
    </row>
    <row r="285" spans="1:15">
      <c r="A285" s="243"/>
      <c r="B285" s="243"/>
      <c r="C285" s="243"/>
      <c r="D285" s="243"/>
      <c r="E285" s="243"/>
      <c r="F285" s="243"/>
      <c r="G285" s="243"/>
      <c r="H285" s="243"/>
      <c r="I285" s="243"/>
      <c r="J285" s="243"/>
      <c r="K285" s="243"/>
      <c r="L285" s="243"/>
      <c r="M285" s="243"/>
      <c r="N285" s="243"/>
      <c r="O285" s="243"/>
    </row>
    <row r="286" spans="1:15">
      <c r="A286" s="243"/>
      <c r="B286" s="243"/>
      <c r="C286" s="243"/>
      <c r="D286" s="243"/>
      <c r="E286" s="243"/>
      <c r="F286" s="243"/>
      <c r="G286" s="243"/>
      <c r="H286" s="243"/>
      <c r="I286" s="243"/>
      <c r="J286" s="243"/>
      <c r="K286" s="243"/>
      <c r="L286" s="243"/>
      <c r="M286" s="243"/>
      <c r="N286" s="243"/>
      <c r="O286" s="243"/>
    </row>
    <row r="287" spans="1:15">
      <c r="A287" s="243"/>
      <c r="B287" s="243"/>
      <c r="C287" s="243"/>
      <c r="D287" s="243"/>
      <c r="E287" s="243"/>
      <c r="F287" s="243"/>
      <c r="G287" s="243"/>
      <c r="H287" s="243"/>
      <c r="I287" s="243"/>
      <c r="J287" s="243"/>
      <c r="K287" s="243"/>
      <c r="L287" s="243"/>
      <c r="M287" s="243"/>
      <c r="N287" s="243"/>
      <c r="O287" s="243"/>
    </row>
    <row r="288" spans="1:15">
      <c r="A288" s="243"/>
      <c r="B288" s="243"/>
      <c r="C288" s="243"/>
      <c r="D288" s="243"/>
      <c r="E288" s="243"/>
      <c r="F288" s="243"/>
      <c r="G288" s="243"/>
      <c r="H288" s="243"/>
      <c r="I288" s="243"/>
      <c r="J288" s="243"/>
      <c r="K288" s="243"/>
      <c r="L288" s="243"/>
      <c r="M288" s="243"/>
      <c r="N288" s="243"/>
      <c r="O288" s="243"/>
    </row>
    <row r="289" spans="1:15">
      <c r="A289" s="243"/>
      <c r="B289" s="243"/>
      <c r="C289" s="243"/>
      <c r="D289" s="243"/>
      <c r="E289" s="243"/>
      <c r="F289" s="243"/>
      <c r="G289" s="243"/>
      <c r="H289" s="243"/>
      <c r="I289" s="243"/>
      <c r="J289" s="243"/>
      <c r="K289" s="243"/>
      <c r="L289" s="243"/>
      <c r="M289" s="243"/>
      <c r="N289" s="243"/>
      <c r="O289" s="243"/>
    </row>
    <row r="290" spans="1:15">
      <c r="A290" s="243"/>
      <c r="B290" s="243"/>
      <c r="C290" s="243"/>
      <c r="D290" s="243"/>
      <c r="E290" s="243"/>
      <c r="F290" s="243"/>
      <c r="G290" s="243"/>
      <c r="H290" s="243"/>
      <c r="I290" s="243"/>
      <c r="J290" s="243"/>
      <c r="K290" s="243"/>
      <c r="L290" s="243"/>
      <c r="M290" s="243"/>
      <c r="N290" s="243"/>
      <c r="O290" s="243"/>
    </row>
    <row r="291" spans="1:15">
      <c r="A291" s="243"/>
      <c r="B291" s="243"/>
      <c r="C291" s="243"/>
      <c r="D291" s="243"/>
      <c r="E291" s="243"/>
      <c r="F291" s="243"/>
      <c r="G291" s="243"/>
      <c r="H291" s="243"/>
      <c r="I291" s="243"/>
      <c r="J291" s="243"/>
      <c r="K291" s="243"/>
      <c r="L291" s="243"/>
      <c r="M291" s="243"/>
      <c r="N291" s="243"/>
      <c r="O291" s="243"/>
    </row>
    <row r="292" spans="1:15">
      <c r="A292" s="243"/>
      <c r="B292" s="243"/>
      <c r="C292" s="243"/>
      <c r="D292" s="243"/>
      <c r="E292" s="243"/>
      <c r="F292" s="243"/>
      <c r="G292" s="243"/>
      <c r="H292" s="243"/>
      <c r="I292" s="243"/>
      <c r="J292" s="243"/>
      <c r="K292" s="243"/>
      <c r="L292" s="243"/>
      <c r="M292" s="243"/>
      <c r="N292" s="243"/>
      <c r="O292" s="243"/>
    </row>
    <row r="293" spans="1:15">
      <c r="A293" s="243"/>
      <c r="B293" s="243"/>
      <c r="C293" s="243"/>
      <c r="D293" s="243"/>
      <c r="E293" s="243"/>
      <c r="F293" s="243"/>
      <c r="G293" s="243"/>
      <c r="H293" s="243"/>
      <c r="I293" s="243"/>
      <c r="J293" s="243"/>
      <c r="K293" s="243"/>
      <c r="L293" s="243"/>
      <c r="M293" s="243"/>
      <c r="N293" s="243"/>
      <c r="O293" s="243"/>
    </row>
    <row r="294" spans="1:15">
      <c r="A294" s="243"/>
      <c r="B294" s="243"/>
      <c r="C294" s="243"/>
      <c r="D294" s="243"/>
      <c r="E294" s="243"/>
      <c r="F294" s="243"/>
      <c r="G294" s="243"/>
      <c r="H294" s="243"/>
      <c r="I294" s="243"/>
      <c r="J294" s="243"/>
      <c r="K294" s="243"/>
      <c r="L294" s="243"/>
      <c r="M294" s="243"/>
      <c r="N294" s="243"/>
      <c r="O294" s="243"/>
    </row>
    <row r="295" spans="1:15">
      <c r="A295" s="243"/>
      <c r="B295" s="243"/>
      <c r="C295" s="243"/>
      <c r="D295" s="243"/>
      <c r="E295" s="243"/>
      <c r="F295" s="243"/>
      <c r="G295" s="243"/>
      <c r="H295" s="243"/>
      <c r="I295" s="243"/>
      <c r="J295" s="243"/>
      <c r="K295" s="243"/>
      <c r="L295" s="243"/>
      <c r="M295" s="243"/>
      <c r="N295" s="243"/>
      <c r="O295" s="243"/>
    </row>
    <row r="296" spans="1:15">
      <c r="A296" s="243"/>
      <c r="B296" s="243"/>
      <c r="C296" s="243"/>
      <c r="D296" s="243"/>
      <c r="E296" s="243"/>
      <c r="F296" s="243"/>
      <c r="G296" s="243"/>
      <c r="H296" s="243"/>
      <c r="I296" s="243"/>
      <c r="J296" s="243"/>
      <c r="K296" s="243"/>
      <c r="L296" s="243"/>
      <c r="M296" s="243"/>
      <c r="N296" s="243"/>
      <c r="O296" s="243"/>
    </row>
    <row r="297" spans="1:15">
      <c r="A297" s="243"/>
      <c r="B297" s="243"/>
      <c r="C297" s="243"/>
      <c r="D297" s="243"/>
      <c r="E297" s="243"/>
      <c r="F297" s="243"/>
      <c r="G297" s="243"/>
      <c r="H297" s="243"/>
      <c r="I297" s="243"/>
      <c r="J297" s="243"/>
      <c r="K297" s="243"/>
      <c r="L297" s="243"/>
      <c r="M297" s="243"/>
      <c r="N297" s="243"/>
      <c r="O297" s="243"/>
    </row>
    <row r="298" spans="1:15">
      <c r="A298" s="243"/>
      <c r="B298" s="243"/>
      <c r="C298" s="243"/>
      <c r="D298" s="243"/>
      <c r="E298" s="243"/>
      <c r="F298" s="243"/>
      <c r="G298" s="243"/>
      <c r="H298" s="243"/>
      <c r="I298" s="243"/>
      <c r="J298" s="243"/>
      <c r="K298" s="243"/>
      <c r="L298" s="243"/>
      <c r="M298" s="243"/>
      <c r="N298" s="243"/>
      <c r="O298" s="243"/>
    </row>
    <row r="299" spans="1:15">
      <c r="A299" s="243"/>
      <c r="B299" s="243"/>
      <c r="C299" s="243"/>
      <c r="D299" s="243"/>
      <c r="E299" s="243"/>
      <c r="F299" s="243"/>
      <c r="G299" s="243"/>
      <c r="H299" s="243"/>
      <c r="I299" s="243"/>
      <c r="J299" s="243"/>
      <c r="K299" s="243"/>
      <c r="L299" s="243"/>
      <c r="M299" s="243"/>
      <c r="N299" s="243"/>
      <c r="O299" s="243"/>
    </row>
    <row r="300" spans="1:15">
      <c r="A300" s="243"/>
      <c r="B300" s="243"/>
      <c r="C300" s="243"/>
      <c r="D300" s="243"/>
      <c r="E300" s="243"/>
      <c r="F300" s="243"/>
      <c r="G300" s="243"/>
      <c r="H300" s="243"/>
      <c r="I300" s="243"/>
      <c r="J300" s="243"/>
      <c r="K300" s="243"/>
      <c r="L300" s="243"/>
      <c r="M300" s="243"/>
      <c r="N300" s="243"/>
      <c r="O300" s="243"/>
    </row>
    <row r="301" spans="1:15">
      <c r="A301" s="243"/>
      <c r="B301" s="243"/>
      <c r="C301" s="243"/>
      <c r="D301" s="243"/>
      <c r="E301" s="243"/>
      <c r="F301" s="243"/>
      <c r="G301" s="243"/>
      <c r="H301" s="243"/>
      <c r="I301" s="243"/>
      <c r="J301" s="243"/>
      <c r="K301" s="243"/>
      <c r="L301" s="243"/>
      <c r="M301" s="243"/>
      <c r="N301" s="243"/>
      <c r="O301" s="243"/>
    </row>
    <row r="302" spans="1:15">
      <c r="A302" s="243"/>
      <c r="B302" s="243"/>
      <c r="C302" s="243"/>
      <c r="D302" s="243"/>
      <c r="E302" s="243"/>
      <c r="F302" s="243"/>
      <c r="G302" s="243"/>
      <c r="H302" s="243"/>
      <c r="I302" s="243"/>
      <c r="J302" s="243"/>
      <c r="K302" s="243"/>
      <c r="L302" s="243"/>
      <c r="M302" s="243"/>
      <c r="N302" s="243"/>
      <c r="O302" s="243"/>
    </row>
    <row r="303" spans="1:15">
      <c r="A303" s="243"/>
      <c r="B303" s="243"/>
      <c r="C303" s="243"/>
      <c r="D303" s="243"/>
      <c r="E303" s="243"/>
      <c r="F303" s="243"/>
      <c r="G303" s="243"/>
      <c r="H303" s="243"/>
      <c r="J303" s="243"/>
      <c r="K303" s="243"/>
      <c r="L303" s="243"/>
      <c r="M303" s="243"/>
      <c r="N303" s="243"/>
      <c r="O303" s="243"/>
    </row>
    <row r="304" spans="1:15">
      <c r="A304" s="243"/>
      <c r="B304" s="243"/>
      <c r="C304" s="243"/>
      <c r="D304" s="243"/>
      <c r="E304" s="243"/>
      <c r="F304" s="243"/>
      <c r="G304" s="243"/>
      <c r="H304" s="243"/>
      <c r="I304" s="243"/>
      <c r="J304" s="243"/>
      <c r="K304" s="243"/>
      <c r="L304" s="243"/>
      <c r="M304" s="243"/>
      <c r="N304" s="243"/>
      <c r="O304" s="243"/>
    </row>
    <row r="305" spans="1:15">
      <c r="A305" s="243"/>
      <c r="B305" s="243"/>
      <c r="C305" s="243"/>
      <c r="D305" s="243"/>
      <c r="E305" s="243"/>
      <c r="F305" s="243"/>
      <c r="G305" s="243"/>
      <c r="H305" s="243"/>
      <c r="I305" s="243"/>
      <c r="J305" s="243"/>
      <c r="K305" s="243"/>
      <c r="L305" s="243"/>
      <c r="M305" s="243"/>
      <c r="N305" s="243"/>
      <c r="O305" s="243"/>
    </row>
    <row r="306" spans="1:15">
      <c r="A306" s="243"/>
      <c r="B306" s="243"/>
      <c r="C306" s="243"/>
      <c r="D306" s="243"/>
      <c r="E306" s="243"/>
      <c r="F306" s="243"/>
      <c r="G306" s="243"/>
      <c r="H306" s="243"/>
      <c r="I306" s="243"/>
      <c r="J306" s="243"/>
      <c r="K306" s="243"/>
      <c r="L306" s="243"/>
      <c r="M306" s="243"/>
      <c r="N306" s="243"/>
      <c r="O306" s="243"/>
    </row>
    <row r="307" spans="1:15">
      <c r="A307" s="243"/>
      <c r="B307" s="243"/>
      <c r="C307" s="243"/>
      <c r="D307" s="243"/>
      <c r="E307" s="243"/>
      <c r="F307" s="243"/>
      <c r="G307" s="243"/>
      <c r="H307" s="243"/>
      <c r="I307" s="243"/>
      <c r="J307" s="243"/>
      <c r="K307" s="243"/>
      <c r="L307" s="243"/>
      <c r="M307" s="243"/>
      <c r="N307" s="243"/>
      <c r="O307" s="243"/>
    </row>
    <row r="308" spans="1:15">
      <c r="A308" s="243"/>
      <c r="B308" s="243"/>
      <c r="C308" s="243"/>
      <c r="D308" s="243"/>
      <c r="E308" s="243"/>
      <c r="F308" s="243"/>
      <c r="G308" s="243"/>
      <c r="H308" s="243"/>
      <c r="I308" s="243"/>
      <c r="J308" s="243"/>
      <c r="K308" s="243"/>
      <c r="L308" s="243"/>
      <c r="M308" s="243"/>
      <c r="N308" s="243"/>
      <c r="O308" s="243"/>
    </row>
    <row r="309" spans="1:15">
      <c r="A309" s="243"/>
      <c r="B309" s="243"/>
      <c r="C309" s="243"/>
      <c r="D309" s="243"/>
      <c r="E309" s="243"/>
      <c r="F309" s="243"/>
      <c r="G309" s="243"/>
      <c r="H309" s="243"/>
      <c r="I309" s="243"/>
      <c r="J309" s="243"/>
      <c r="K309" s="243"/>
      <c r="L309" s="243"/>
      <c r="M309" s="243"/>
      <c r="N309" s="243"/>
      <c r="O309" s="243"/>
    </row>
    <row r="310" spans="1:15">
      <c r="A310" s="243"/>
      <c r="B310" s="243"/>
      <c r="C310" s="243"/>
      <c r="D310" s="243"/>
      <c r="E310" s="243"/>
      <c r="F310" s="243"/>
      <c r="G310" s="243"/>
      <c r="H310" s="243"/>
      <c r="I310" s="243"/>
      <c r="J310" s="243"/>
      <c r="K310" s="243"/>
      <c r="L310" s="243"/>
      <c r="M310" s="243"/>
      <c r="N310" s="243"/>
      <c r="O310" s="243"/>
    </row>
    <row r="311" spans="1:15">
      <c r="A311" s="243"/>
      <c r="B311" s="243"/>
      <c r="C311" s="243"/>
      <c r="D311" s="243"/>
      <c r="E311" s="243"/>
      <c r="F311" s="243"/>
      <c r="G311" s="243"/>
      <c r="H311" s="243"/>
      <c r="I311" s="243"/>
      <c r="J311" s="243"/>
      <c r="K311" s="243"/>
      <c r="L311" s="243"/>
      <c r="M311" s="243"/>
      <c r="N311" s="243"/>
      <c r="O311" s="243"/>
    </row>
    <row r="312" spans="1:15">
      <c r="A312" s="243"/>
      <c r="B312" s="243"/>
      <c r="C312" s="243"/>
      <c r="D312" s="243"/>
      <c r="E312" s="243"/>
      <c r="F312" s="243"/>
      <c r="G312" s="243"/>
      <c r="H312" s="243"/>
      <c r="I312" s="243"/>
      <c r="J312" s="243"/>
      <c r="K312" s="243"/>
      <c r="L312" s="243"/>
      <c r="M312" s="243"/>
      <c r="N312" s="243"/>
      <c r="O312" s="243"/>
    </row>
    <row r="313" spans="1:15">
      <c r="A313" s="243"/>
      <c r="B313" s="243"/>
      <c r="C313" s="243"/>
      <c r="D313" s="243"/>
      <c r="E313" s="243"/>
      <c r="F313" s="243"/>
      <c r="G313" s="243"/>
      <c r="H313" s="243"/>
      <c r="I313" s="243"/>
      <c r="J313" s="243"/>
      <c r="K313" s="243"/>
      <c r="L313" s="243"/>
      <c r="M313" s="243"/>
      <c r="N313" s="243"/>
      <c r="O313" s="243"/>
    </row>
    <row r="314" spans="1:15">
      <c r="A314" s="243"/>
      <c r="B314" s="243"/>
      <c r="C314" s="243"/>
      <c r="D314" s="243"/>
      <c r="E314" s="243"/>
      <c r="F314" s="243"/>
      <c r="G314" s="243"/>
      <c r="H314" s="243"/>
      <c r="I314" s="243"/>
      <c r="J314" s="243"/>
      <c r="K314" s="243"/>
      <c r="L314" s="243"/>
      <c r="M314" s="243"/>
      <c r="N314" s="243"/>
      <c r="O314" s="243"/>
    </row>
    <row r="315" spans="1:15">
      <c r="A315" s="243"/>
      <c r="B315" s="243"/>
      <c r="C315" s="243"/>
      <c r="D315" s="243"/>
      <c r="E315" s="243"/>
      <c r="F315" s="243"/>
      <c r="G315" s="243"/>
      <c r="H315" s="243"/>
      <c r="I315" s="243"/>
      <c r="J315" s="243"/>
      <c r="K315" s="243"/>
      <c r="L315" s="243"/>
      <c r="M315" s="243"/>
      <c r="N315" s="243"/>
      <c r="O315" s="243"/>
    </row>
    <row r="316" spans="1:15">
      <c r="A316" s="243"/>
      <c r="B316" s="243"/>
      <c r="C316" s="243"/>
      <c r="D316" s="243"/>
      <c r="E316" s="243"/>
      <c r="F316" s="243"/>
      <c r="G316" s="243"/>
      <c r="H316" s="243"/>
      <c r="I316" s="243"/>
      <c r="J316" s="243"/>
      <c r="K316" s="243"/>
      <c r="L316" s="243"/>
      <c r="M316" s="243"/>
      <c r="N316" s="243"/>
      <c r="O316" s="243"/>
    </row>
    <row r="317" spans="1:15">
      <c r="A317" s="243"/>
      <c r="B317" s="243"/>
      <c r="C317" s="243"/>
      <c r="D317" s="243"/>
      <c r="E317" s="243"/>
      <c r="F317" s="243"/>
      <c r="G317" s="243"/>
      <c r="H317" s="243"/>
      <c r="J317" s="243"/>
      <c r="K317" s="243"/>
      <c r="L317" s="243"/>
      <c r="M317" s="243"/>
      <c r="N317" s="243"/>
      <c r="O317" s="243"/>
    </row>
    <row r="318" spans="1:15">
      <c r="A318" s="243"/>
      <c r="B318" s="243"/>
      <c r="C318" s="243"/>
      <c r="D318" s="243"/>
      <c r="E318" s="243"/>
      <c r="F318" s="243"/>
      <c r="G318" s="243"/>
      <c r="H318" s="243"/>
      <c r="I318" s="243"/>
      <c r="J318" s="243"/>
      <c r="K318" s="243"/>
      <c r="L318" s="243"/>
      <c r="M318" s="243"/>
      <c r="N318" s="243"/>
      <c r="O318" s="243"/>
    </row>
    <row r="319" spans="1:15">
      <c r="A319" s="243"/>
      <c r="B319" s="243"/>
      <c r="C319" s="243"/>
      <c r="D319" s="243"/>
      <c r="E319" s="243"/>
      <c r="F319" s="243"/>
      <c r="G319" s="243"/>
      <c r="H319" s="243"/>
      <c r="I319" s="243"/>
      <c r="J319" s="243"/>
      <c r="K319" s="243"/>
      <c r="L319" s="243"/>
      <c r="M319" s="243"/>
      <c r="N319" s="243"/>
      <c r="O319" s="243"/>
    </row>
    <row r="320" spans="1:15">
      <c r="A320" s="243"/>
      <c r="B320" s="243"/>
      <c r="C320" s="243"/>
      <c r="D320" s="243"/>
      <c r="E320" s="243"/>
      <c r="F320" s="243"/>
      <c r="G320" s="243"/>
      <c r="H320" s="243"/>
      <c r="I320" s="243"/>
      <c r="J320" s="243"/>
      <c r="K320" s="243"/>
      <c r="L320" s="243"/>
      <c r="M320" s="243"/>
      <c r="N320" s="243"/>
      <c r="O320" s="243"/>
    </row>
    <row r="321" spans="1:15">
      <c r="A321" s="243"/>
      <c r="B321" s="243"/>
      <c r="C321" s="243"/>
      <c r="D321" s="243"/>
      <c r="E321" s="243"/>
      <c r="F321" s="243"/>
      <c r="G321" s="243"/>
      <c r="H321" s="243"/>
      <c r="I321" s="243"/>
      <c r="J321" s="243"/>
      <c r="K321" s="243"/>
      <c r="L321" s="243"/>
      <c r="M321" s="243"/>
      <c r="N321" s="243"/>
      <c r="O321" s="243"/>
    </row>
    <row r="322" spans="1:15">
      <c r="A322" s="243"/>
      <c r="B322" s="243"/>
      <c r="C322" s="243"/>
      <c r="D322" s="243"/>
      <c r="E322" s="243"/>
      <c r="F322" s="243"/>
      <c r="G322" s="243"/>
      <c r="H322" s="243"/>
      <c r="J322" s="243"/>
      <c r="K322" s="243"/>
      <c r="L322" s="243"/>
      <c r="M322" s="243"/>
      <c r="N322" s="243"/>
      <c r="O322" s="243"/>
    </row>
    <row r="323" spans="1:15">
      <c r="A323" s="243"/>
      <c r="B323" s="243"/>
      <c r="C323" s="243"/>
      <c r="D323" s="243"/>
      <c r="E323" s="243"/>
      <c r="F323" s="243"/>
      <c r="G323" s="243"/>
      <c r="H323" s="243"/>
      <c r="I323" s="243"/>
      <c r="J323" s="243"/>
      <c r="K323" s="243"/>
      <c r="L323" s="243"/>
      <c r="M323" s="243"/>
      <c r="N323" s="243"/>
      <c r="O323" s="243"/>
    </row>
    <row r="324" spans="1:15">
      <c r="A324" s="243"/>
      <c r="B324" s="243"/>
      <c r="C324" s="243"/>
      <c r="D324" s="243"/>
      <c r="E324" s="243"/>
      <c r="F324" s="243"/>
      <c r="G324" s="243"/>
      <c r="H324" s="243"/>
      <c r="J324" s="243"/>
      <c r="K324" s="243"/>
      <c r="L324" s="243"/>
      <c r="M324" s="243"/>
      <c r="N324" s="243"/>
      <c r="O324" s="243"/>
    </row>
    <row r="325" spans="1:15">
      <c r="A325" s="243"/>
      <c r="B325" s="243"/>
      <c r="C325" s="243"/>
      <c r="D325" s="243"/>
      <c r="E325" s="243"/>
      <c r="F325" s="243"/>
      <c r="G325" s="243"/>
      <c r="H325" s="243"/>
      <c r="I325" s="243"/>
      <c r="J325" s="243"/>
      <c r="K325" s="243"/>
      <c r="L325" s="243"/>
      <c r="M325" s="243"/>
      <c r="N325" s="243"/>
      <c r="O325" s="243"/>
    </row>
    <row r="326" spans="1:15">
      <c r="A326" s="243"/>
      <c r="B326" s="243"/>
      <c r="C326" s="243"/>
      <c r="D326" s="243"/>
      <c r="E326" s="243"/>
      <c r="F326" s="243"/>
      <c r="G326" s="243"/>
      <c r="H326" s="243"/>
      <c r="I326" s="243"/>
      <c r="J326" s="243"/>
      <c r="K326" s="243"/>
      <c r="L326" s="243"/>
      <c r="M326" s="243"/>
      <c r="N326" s="243"/>
      <c r="O326" s="243"/>
    </row>
    <row r="327" spans="1:15">
      <c r="A327" s="243"/>
      <c r="B327" s="243"/>
      <c r="C327" s="243"/>
      <c r="D327" s="243"/>
      <c r="E327" s="243"/>
      <c r="F327" s="243"/>
      <c r="G327" s="243"/>
      <c r="H327" s="243"/>
      <c r="I327" s="243"/>
      <c r="J327" s="243"/>
      <c r="K327" s="243"/>
      <c r="L327" s="243"/>
      <c r="M327" s="243"/>
      <c r="N327" s="243"/>
      <c r="O327" s="243"/>
    </row>
    <row r="328" spans="1:15">
      <c r="A328" s="243"/>
      <c r="B328" s="243"/>
      <c r="C328" s="243"/>
      <c r="D328" s="243"/>
      <c r="E328" s="243"/>
      <c r="F328" s="243"/>
      <c r="G328" s="243"/>
      <c r="H328" s="243"/>
      <c r="I328" s="243"/>
      <c r="J328" s="243"/>
      <c r="K328" s="243"/>
      <c r="L328" s="243"/>
      <c r="M328" s="243"/>
      <c r="N328" s="243"/>
      <c r="O328" s="243"/>
    </row>
    <row r="329" spans="1:15">
      <c r="A329" s="243"/>
      <c r="B329" s="243"/>
      <c r="C329" s="243"/>
      <c r="D329" s="243"/>
      <c r="E329" s="243"/>
      <c r="F329" s="243"/>
      <c r="G329" s="243"/>
      <c r="H329" s="243"/>
      <c r="J329" s="243"/>
      <c r="K329" s="243"/>
      <c r="L329" s="243"/>
      <c r="M329" s="243"/>
      <c r="N329" s="243"/>
      <c r="O329" s="243"/>
    </row>
    <row r="330" spans="1:15">
      <c r="A330" s="243"/>
      <c r="B330" s="243"/>
      <c r="C330" s="243"/>
      <c r="D330" s="243"/>
      <c r="E330" s="243"/>
      <c r="F330" s="243"/>
      <c r="G330" s="243"/>
      <c r="H330" s="243"/>
      <c r="I330" s="243"/>
      <c r="J330" s="243"/>
      <c r="K330" s="243"/>
      <c r="L330" s="243"/>
      <c r="M330" s="243"/>
      <c r="N330" s="243"/>
      <c r="O330" s="243"/>
    </row>
    <row r="331" spans="1:15">
      <c r="A331" s="243"/>
      <c r="B331" s="243"/>
      <c r="C331" s="243"/>
      <c r="D331" s="243"/>
      <c r="E331" s="243"/>
      <c r="F331" s="243"/>
      <c r="G331" s="243"/>
      <c r="H331" s="243"/>
      <c r="I331" s="243"/>
      <c r="J331" s="243"/>
      <c r="K331" s="243"/>
      <c r="L331" s="243"/>
      <c r="M331" s="243"/>
      <c r="N331" s="243"/>
      <c r="O331" s="243"/>
    </row>
    <row r="332" spans="1:15">
      <c r="A332" s="243"/>
      <c r="B332" s="243"/>
      <c r="C332" s="243"/>
      <c r="D332" s="243"/>
      <c r="E332" s="243"/>
      <c r="F332" s="243"/>
      <c r="G332" s="243"/>
      <c r="H332" s="243"/>
      <c r="I332" s="243"/>
      <c r="J332" s="243"/>
      <c r="K332" s="243"/>
      <c r="L332" s="243"/>
      <c r="M332" s="243"/>
      <c r="N332" s="243"/>
      <c r="O332" s="243"/>
    </row>
    <row r="333" spans="1:15">
      <c r="A333" s="243"/>
      <c r="B333" s="243"/>
      <c r="C333" s="243"/>
      <c r="D333" s="243"/>
      <c r="E333" s="243"/>
      <c r="F333" s="243"/>
      <c r="G333" s="243"/>
      <c r="H333" s="243"/>
      <c r="I333" s="243"/>
      <c r="J333" s="243"/>
      <c r="K333" s="243"/>
      <c r="L333" s="243"/>
      <c r="M333" s="243"/>
      <c r="N333" s="243"/>
      <c r="O333" s="243"/>
    </row>
    <row r="334" spans="1:15">
      <c r="A334" s="243"/>
      <c r="B334" s="243"/>
      <c r="C334" s="243"/>
      <c r="D334" s="243"/>
      <c r="E334" s="243"/>
      <c r="F334" s="243"/>
      <c r="G334" s="243"/>
      <c r="H334" s="243"/>
      <c r="I334" s="243"/>
      <c r="J334" s="243"/>
      <c r="K334" s="243"/>
      <c r="L334" s="243"/>
      <c r="M334" s="243"/>
      <c r="N334" s="243"/>
      <c r="O334" s="243"/>
    </row>
    <row r="335" spans="1:15">
      <c r="A335" s="243"/>
      <c r="B335" s="243"/>
      <c r="C335" s="243"/>
      <c r="D335" s="243"/>
      <c r="E335" s="243"/>
      <c r="F335" s="243"/>
      <c r="G335" s="243"/>
      <c r="H335" s="243"/>
      <c r="I335" s="243"/>
      <c r="J335" s="243"/>
      <c r="K335" s="243"/>
      <c r="L335" s="243"/>
      <c r="M335" s="243"/>
      <c r="N335" s="243"/>
      <c r="O335" s="243"/>
    </row>
    <row r="336" spans="1:15">
      <c r="A336" s="243"/>
      <c r="B336" s="243"/>
      <c r="C336" s="243"/>
      <c r="D336" s="243"/>
      <c r="E336" s="243"/>
      <c r="F336" s="243"/>
      <c r="G336" s="243"/>
      <c r="H336" s="243"/>
      <c r="I336" s="243"/>
      <c r="J336" s="243"/>
      <c r="K336" s="243"/>
      <c r="L336" s="243"/>
      <c r="M336" s="243"/>
      <c r="N336" s="243"/>
      <c r="O336" s="243"/>
    </row>
    <row r="337" spans="1:15">
      <c r="A337" s="243"/>
      <c r="B337" s="243"/>
      <c r="C337" s="243"/>
      <c r="D337" s="243"/>
      <c r="E337" s="243"/>
      <c r="F337" s="243"/>
      <c r="G337" s="243"/>
      <c r="H337" s="243"/>
      <c r="I337" s="243"/>
      <c r="J337" s="243"/>
      <c r="K337" s="243"/>
      <c r="L337" s="243"/>
      <c r="M337" s="243"/>
      <c r="N337" s="243"/>
      <c r="O337" s="243"/>
    </row>
    <row r="338" spans="1:15">
      <c r="A338" s="243"/>
      <c r="B338" s="243"/>
      <c r="C338" s="243"/>
      <c r="D338" s="243"/>
      <c r="E338" s="243"/>
      <c r="F338" s="243"/>
      <c r="G338" s="243"/>
      <c r="H338" s="243"/>
      <c r="I338" s="243"/>
      <c r="J338" s="243"/>
      <c r="K338" s="243"/>
      <c r="L338" s="243"/>
      <c r="M338" s="243"/>
      <c r="N338" s="243"/>
      <c r="O338" s="243"/>
    </row>
    <row r="339" spans="1:15">
      <c r="A339" s="243"/>
      <c r="B339" s="243"/>
      <c r="C339" s="243"/>
      <c r="D339" s="243"/>
      <c r="E339" s="243"/>
      <c r="F339" s="243"/>
      <c r="G339" s="243"/>
      <c r="H339" s="243"/>
      <c r="I339" s="243"/>
      <c r="J339" s="243"/>
      <c r="K339" s="243"/>
      <c r="L339" s="243"/>
      <c r="M339" s="243"/>
      <c r="N339" s="243"/>
      <c r="O339" s="243"/>
    </row>
    <row r="340" spans="1:15">
      <c r="A340" s="243"/>
      <c r="B340" s="243"/>
      <c r="C340" s="243"/>
      <c r="D340" s="243"/>
      <c r="E340" s="243"/>
      <c r="F340" s="243"/>
      <c r="G340" s="243"/>
      <c r="H340" s="243"/>
      <c r="I340" s="243"/>
      <c r="J340" s="243"/>
      <c r="K340" s="243"/>
      <c r="L340" s="243"/>
      <c r="M340" s="243"/>
      <c r="N340" s="243"/>
      <c r="O340" s="243"/>
    </row>
    <row r="341" spans="1:15">
      <c r="A341" s="243"/>
      <c r="B341" s="243"/>
      <c r="C341" s="243"/>
      <c r="D341" s="243"/>
      <c r="E341" s="243"/>
      <c r="F341" s="243"/>
      <c r="G341" s="243"/>
      <c r="H341" s="243"/>
      <c r="I341" s="243"/>
      <c r="J341" s="243"/>
      <c r="K341" s="243"/>
      <c r="L341" s="243"/>
      <c r="M341" s="243"/>
      <c r="N341" s="243"/>
      <c r="O341" s="243"/>
    </row>
    <row r="342" spans="1:15">
      <c r="A342" s="243"/>
      <c r="B342" s="243"/>
      <c r="C342" s="243"/>
      <c r="D342" s="243"/>
      <c r="E342" s="243"/>
      <c r="F342" s="243"/>
      <c r="G342" s="243"/>
      <c r="H342" s="243"/>
      <c r="I342" s="243"/>
      <c r="J342" s="243"/>
      <c r="K342" s="243"/>
      <c r="L342" s="243"/>
      <c r="M342" s="243"/>
      <c r="N342" s="243"/>
      <c r="O342" s="243"/>
    </row>
    <row r="343" spans="1:15">
      <c r="A343" s="243"/>
      <c r="B343" s="243"/>
      <c r="C343" s="243"/>
      <c r="D343" s="243"/>
      <c r="E343" s="243"/>
      <c r="F343" s="243"/>
      <c r="G343" s="243"/>
      <c r="H343" s="243"/>
      <c r="I343" s="243"/>
      <c r="J343" s="243"/>
      <c r="K343" s="243"/>
      <c r="L343" s="243"/>
      <c r="M343" s="243"/>
      <c r="N343" s="243"/>
      <c r="O343" s="243"/>
    </row>
    <row r="344" spans="1:15">
      <c r="A344" s="243"/>
      <c r="B344" s="243"/>
      <c r="C344" s="243"/>
      <c r="D344" s="243"/>
      <c r="E344" s="243"/>
      <c r="F344" s="243"/>
      <c r="G344" s="243"/>
      <c r="H344" s="243"/>
      <c r="I344" s="243"/>
      <c r="J344" s="243"/>
      <c r="K344" s="243"/>
      <c r="L344" s="243"/>
      <c r="M344" s="243"/>
      <c r="N344" s="243"/>
      <c r="O344" s="243"/>
    </row>
    <row r="345" spans="1:15">
      <c r="A345" s="243"/>
      <c r="B345" s="243"/>
      <c r="C345" s="243"/>
      <c r="D345" s="243"/>
      <c r="E345" s="243"/>
      <c r="F345" s="243"/>
      <c r="G345" s="243"/>
      <c r="H345" s="243"/>
      <c r="I345" s="243"/>
      <c r="J345" s="243"/>
      <c r="K345" s="243"/>
      <c r="L345" s="243"/>
      <c r="M345" s="243"/>
      <c r="N345" s="243"/>
      <c r="O345" s="243"/>
    </row>
    <row r="346" spans="1:15">
      <c r="A346" s="243"/>
      <c r="B346" s="243"/>
      <c r="C346" s="243"/>
      <c r="D346" s="243"/>
      <c r="E346" s="243"/>
      <c r="F346" s="243"/>
      <c r="G346" s="243"/>
      <c r="H346" s="243"/>
      <c r="I346" s="243"/>
      <c r="J346" s="243"/>
      <c r="K346" s="243"/>
      <c r="L346" s="243"/>
      <c r="M346" s="243"/>
      <c r="N346" s="243"/>
      <c r="O346" s="243"/>
    </row>
    <row r="347" spans="1:15">
      <c r="A347" s="243"/>
      <c r="B347" s="243"/>
      <c r="C347" s="243"/>
      <c r="D347" s="243"/>
      <c r="E347" s="243"/>
      <c r="F347" s="243"/>
      <c r="G347" s="243"/>
      <c r="H347" s="243"/>
      <c r="I347" s="243"/>
      <c r="J347" s="243"/>
      <c r="K347" s="243"/>
      <c r="L347" s="243"/>
      <c r="M347" s="243"/>
      <c r="N347" s="243"/>
      <c r="O347" s="243"/>
    </row>
    <row r="348" spans="1:15">
      <c r="A348" s="243"/>
      <c r="B348" s="243"/>
      <c r="C348" s="243"/>
      <c r="D348" s="243"/>
      <c r="E348" s="243"/>
      <c r="F348" s="243"/>
      <c r="G348" s="243"/>
      <c r="H348" s="243"/>
      <c r="I348" s="243"/>
      <c r="J348" s="243"/>
      <c r="K348" s="243"/>
      <c r="L348" s="243"/>
      <c r="M348" s="243"/>
      <c r="N348" s="243"/>
      <c r="O348" s="243"/>
    </row>
    <row r="349" spans="1:15">
      <c r="A349" s="243"/>
      <c r="B349" s="243"/>
      <c r="C349" s="243"/>
      <c r="D349" s="243"/>
      <c r="E349" s="243"/>
      <c r="F349" s="243"/>
      <c r="G349" s="243"/>
      <c r="H349" s="243"/>
      <c r="I349" s="243"/>
      <c r="J349" s="243"/>
      <c r="K349" s="243"/>
      <c r="L349" s="243"/>
      <c r="M349" s="243"/>
      <c r="N349" s="243"/>
      <c r="O349" s="243"/>
    </row>
    <row r="350" spans="1:15">
      <c r="A350" s="243"/>
      <c r="B350" s="243"/>
      <c r="C350" s="243"/>
      <c r="D350" s="243"/>
      <c r="E350" s="243"/>
      <c r="F350" s="243"/>
      <c r="G350" s="243"/>
      <c r="H350" s="243"/>
      <c r="I350" s="243"/>
      <c r="J350" s="243"/>
      <c r="K350" s="243"/>
      <c r="L350" s="243"/>
      <c r="M350" s="243"/>
      <c r="N350" s="243"/>
      <c r="O350" s="243"/>
    </row>
    <row r="351" spans="1:15">
      <c r="A351" s="243"/>
      <c r="B351" s="243"/>
      <c r="C351" s="243"/>
      <c r="D351" s="243"/>
      <c r="E351" s="243"/>
      <c r="F351" s="243"/>
      <c r="G351" s="243"/>
      <c r="H351" s="243"/>
      <c r="I351" s="243"/>
      <c r="J351" s="243"/>
      <c r="K351" s="243"/>
      <c r="L351" s="243"/>
      <c r="M351" s="243"/>
      <c r="N351" s="243"/>
      <c r="O351" s="243"/>
    </row>
    <row r="352" spans="1:15">
      <c r="A352" s="243"/>
      <c r="B352" s="243"/>
      <c r="C352" s="243"/>
      <c r="D352" s="243"/>
      <c r="E352" s="243"/>
      <c r="F352" s="243"/>
      <c r="G352" s="243"/>
      <c r="H352" s="243"/>
      <c r="I352" s="243"/>
      <c r="J352" s="243"/>
      <c r="K352" s="243"/>
      <c r="L352" s="243"/>
      <c r="M352" s="243"/>
      <c r="N352" s="243"/>
      <c r="O352" s="243"/>
    </row>
    <row r="353" spans="1:15">
      <c r="A353" s="243"/>
      <c r="B353" s="243"/>
      <c r="C353" s="243"/>
      <c r="D353" s="243"/>
      <c r="E353" s="243"/>
      <c r="F353" s="243"/>
      <c r="G353" s="243"/>
      <c r="H353" s="243"/>
      <c r="I353" s="243"/>
      <c r="J353" s="243"/>
      <c r="K353" s="243"/>
      <c r="L353" s="243"/>
      <c r="M353" s="243"/>
      <c r="N353" s="243"/>
      <c r="O353" s="243"/>
    </row>
    <row r="354" spans="1:15">
      <c r="A354" s="243"/>
      <c r="B354" s="243"/>
      <c r="C354" s="243"/>
      <c r="D354" s="243"/>
      <c r="E354" s="243"/>
      <c r="F354" s="243"/>
      <c r="G354" s="243"/>
      <c r="H354" s="243"/>
      <c r="I354" s="243"/>
      <c r="J354" s="243"/>
      <c r="K354" s="243"/>
      <c r="L354" s="243"/>
      <c r="M354" s="243"/>
      <c r="N354" s="243"/>
      <c r="O354" s="243"/>
    </row>
    <row r="355" spans="1:15">
      <c r="A355" s="243"/>
      <c r="B355" s="243"/>
      <c r="C355" s="243"/>
      <c r="D355" s="243"/>
      <c r="E355" s="243"/>
      <c r="F355" s="243"/>
      <c r="G355" s="243"/>
      <c r="H355" s="243"/>
      <c r="I355" s="243"/>
      <c r="J355" s="243"/>
      <c r="K355" s="243"/>
      <c r="L355" s="243"/>
      <c r="M355" s="243"/>
      <c r="N355" s="243"/>
      <c r="O355" s="243"/>
    </row>
    <row r="356" spans="1:15">
      <c r="A356" s="243"/>
      <c r="B356" s="243"/>
      <c r="C356" s="243"/>
      <c r="D356" s="243"/>
      <c r="E356" s="243"/>
      <c r="F356" s="243"/>
      <c r="G356" s="243"/>
      <c r="H356" s="243"/>
      <c r="I356" s="243"/>
      <c r="J356" s="243"/>
      <c r="K356" s="243"/>
      <c r="L356" s="243"/>
      <c r="M356" s="243"/>
      <c r="N356" s="243"/>
      <c r="O356" s="243"/>
    </row>
    <row r="357" spans="1:15">
      <c r="A357" s="243"/>
      <c r="B357" s="243"/>
      <c r="C357" s="243"/>
      <c r="D357" s="243"/>
      <c r="E357" s="243"/>
      <c r="F357" s="243"/>
      <c r="G357" s="243"/>
      <c r="H357" s="243"/>
      <c r="I357" s="243"/>
      <c r="J357" s="243"/>
      <c r="K357" s="243"/>
      <c r="L357" s="243"/>
      <c r="M357" s="243"/>
      <c r="N357" s="243"/>
      <c r="O357" s="243"/>
    </row>
    <row r="358" spans="1:15">
      <c r="A358" s="243"/>
      <c r="B358" s="243"/>
      <c r="C358" s="243"/>
      <c r="D358" s="243"/>
      <c r="E358" s="243"/>
      <c r="F358" s="243"/>
      <c r="G358" s="243"/>
      <c r="H358" s="243"/>
      <c r="I358" s="243"/>
      <c r="J358" s="243"/>
      <c r="K358" s="243"/>
      <c r="L358" s="243"/>
      <c r="M358" s="243"/>
      <c r="N358" s="243"/>
      <c r="O358" s="243"/>
    </row>
    <row r="359" spans="1:15">
      <c r="A359" s="243"/>
      <c r="B359" s="243"/>
      <c r="C359" s="243"/>
      <c r="D359" s="243"/>
      <c r="E359" s="243"/>
      <c r="F359" s="243"/>
      <c r="G359" s="243"/>
      <c r="H359" s="243"/>
      <c r="I359" s="243"/>
      <c r="J359" s="243"/>
      <c r="K359" s="243"/>
      <c r="L359" s="243"/>
      <c r="M359" s="243"/>
      <c r="N359" s="243"/>
      <c r="O359" s="243"/>
    </row>
    <row r="360" spans="1:15">
      <c r="A360" s="243"/>
      <c r="B360" s="243"/>
      <c r="C360" s="243"/>
      <c r="D360" s="243"/>
      <c r="E360" s="243"/>
      <c r="F360" s="243"/>
      <c r="G360" s="243"/>
      <c r="H360" s="243"/>
      <c r="I360" s="243"/>
      <c r="J360" s="243"/>
      <c r="K360" s="243"/>
      <c r="L360" s="243"/>
      <c r="M360" s="243"/>
      <c r="N360" s="243"/>
      <c r="O360" s="243"/>
    </row>
    <row r="361" spans="1:15">
      <c r="A361" s="243"/>
      <c r="B361" s="243"/>
      <c r="C361" s="243"/>
      <c r="D361" s="243"/>
      <c r="E361" s="243"/>
      <c r="F361" s="243"/>
      <c r="G361" s="243"/>
      <c r="H361" s="243"/>
      <c r="I361" s="243"/>
      <c r="J361" s="243"/>
      <c r="K361" s="243"/>
      <c r="L361" s="243"/>
      <c r="M361" s="243"/>
      <c r="N361" s="243"/>
      <c r="O361" s="243"/>
    </row>
    <row r="362" spans="1:15">
      <c r="A362" s="243"/>
      <c r="B362" s="243"/>
      <c r="C362" s="243"/>
      <c r="D362" s="243"/>
      <c r="E362" s="243"/>
      <c r="F362" s="243"/>
      <c r="G362" s="243"/>
      <c r="H362" s="243"/>
      <c r="I362" s="243"/>
      <c r="J362" s="243"/>
      <c r="K362" s="243"/>
      <c r="L362" s="243"/>
      <c r="M362" s="243"/>
      <c r="N362" s="243"/>
      <c r="O362" s="243"/>
    </row>
    <row r="363" spans="1:15">
      <c r="A363" s="243"/>
      <c r="B363" s="243"/>
      <c r="C363" s="243"/>
      <c r="D363" s="243"/>
      <c r="E363" s="243"/>
      <c r="F363" s="243"/>
      <c r="G363" s="243"/>
      <c r="H363" s="243"/>
      <c r="I363" s="243"/>
      <c r="J363" s="243"/>
      <c r="K363" s="243"/>
      <c r="L363" s="243"/>
      <c r="M363" s="243"/>
      <c r="N363" s="243"/>
      <c r="O363" s="243"/>
    </row>
    <row r="364" spans="1:15">
      <c r="A364" s="243"/>
      <c r="B364" s="243"/>
      <c r="C364" s="243"/>
      <c r="D364" s="243"/>
      <c r="E364" s="243"/>
      <c r="F364" s="243"/>
      <c r="G364" s="243"/>
      <c r="H364" s="243"/>
      <c r="I364" s="243"/>
      <c r="J364" s="243"/>
      <c r="K364" s="243"/>
      <c r="L364" s="243"/>
      <c r="M364" s="243"/>
      <c r="N364" s="243"/>
      <c r="O364" s="243"/>
    </row>
    <row r="365" spans="1:15">
      <c r="A365" s="243"/>
      <c r="B365" s="243"/>
      <c r="C365" s="243"/>
      <c r="D365" s="243"/>
      <c r="E365" s="243"/>
      <c r="F365" s="243"/>
      <c r="G365" s="243"/>
      <c r="H365" s="243"/>
      <c r="I365" s="243"/>
      <c r="J365" s="243"/>
      <c r="K365" s="243"/>
      <c r="L365" s="243"/>
      <c r="M365" s="243"/>
      <c r="N365" s="243"/>
      <c r="O365" s="243"/>
    </row>
    <row r="366" spans="1:15">
      <c r="A366" s="243"/>
      <c r="B366" s="243"/>
      <c r="C366" s="243"/>
      <c r="D366" s="243"/>
      <c r="E366" s="243"/>
      <c r="F366" s="243"/>
      <c r="G366" s="243"/>
      <c r="H366" s="243"/>
      <c r="I366" s="243"/>
      <c r="J366" s="243"/>
      <c r="K366" s="243"/>
      <c r="L366" s="243"/>
      <c r="M366" s="243"/>
      <c r="N366" s="243"/>
      <c r="O366" s="243"/>
    </row>
    <row r="367" spans="1:15">
      <c r="A367" s="243"/>
      <c r="B367" s="243"/>
      <c r="C367" s="243"/>
      <c r="D367" s="243"/>
      <c r="E367" s="243"/>
      <c r="F367" s="243"/>
      <c r="G367" s="243"/>
      <c r="H367" s="243"/>
      <c r="I367" s="243"/>
      <c r="J367" s="243"/>
      <c r="K367" s="243"/>
      <c r="L367" s="243"/>
      <c r="M367" s="243"/>
      <c r="N367" s="243"/>
      <c r="O367" s="243"/>
    </row>
    <row r="368" spans="1:15">
      <c r="A368" s="243"/>
      <c r="B368" s="243"/>
      <c r="C368" s="243"/>
      <c r="D368" s="243"/>
      <c r="E368" s="243"/>
      <c r="F368" s="243"/>
      <c r="G368" s="243"/>
      <c r="H368" s="243"/>
      <c r="I368" s="243"/>
      <c r="J368" s="243"/>
      <c r="K368" s="243"/>
      <c r="L368" s="243"/>
      <c r="M368" s="243"/>
      <c r="N368" s="243"/>
      <c r="O368" s="243"/>
    </row>
    <row r="369" spans="1:15">
      <c r="A369" s="243"/>
      <c r="B369" s="243"/>
      <c r="C369" s="243"/>
      <c r="D369" s="243"/>
      <c r="E369" s="243"/>
      <c r="F369" s="243"/>
      <c r="G369" s="243"/>
      <c r="H369" s="243"/>
      <c r="I369" s="243"/>
      <c r="J369" s="243"/>
      <c r="K369" s="243"/>
      <c r="L369" s="243"/>
      <c r="M369" s="243"/>
      <c r="N369" s="243"/>
      <c r="O369" s="243"/>
    </row>
    <row r="370" spans="1:15">
      <c r="A370" s="243"/>
      <c r="B370" s="243"/>
      <c r="C370" s="243"/>
      <c r="D370" s="243"/>
      <c r="E370" s="243"/>
      <c r="F370" s="243"/>
      <c r="G370" s="243"/>
      <c r="H370" s="243"/>
      <c r="I370" s="243"/>
      <c r="J370" s="243"/>
      <c r="K370" s="243"/>
      <c r="L370" s="243"/>
      <c r="M370" s="243"/>
      <c r="N370" s="243"/>
      <c r="O370" s="243"/>
    </row>
    <row r="371" spans="1:15">
      <c r="A371" s="243"/>
      <c r="B371" s="243"/>
      <c r="C371" s="243"/>
      <c r="D371" s="243"/>
      <c r="E371" s="243"/>
      <c r="F371" s="243"/>
      <c r="G371" s="243"/>
      <c r="H371" s="243"/>
      <c r="I371" s="243"/>
      <c r="J371" s="243"/>
      <c r="K371" s="243"/>
      <c r="L371" s="243"/>
      <c r="M371" s="243"/>
      <c r="N371" s="243"/>
      <c r="O371" s="243"/>
    </row>
    <row r="372" spans="1:15">
      <c r="A372" s="243"/>
      <c r="B372" s="243"/>
      <c r="C372" s="243"/>
      <c r="D372" s="243"/>
      <c r="E372" s="243"/>
      <c r="F372" s="243"/>
      <c r="G372" s="243"/>
      <c r="H372" s="243"/>
      <c r="I372" s="243"/>
      <c r="J372" s="243"/>
      <c r="K372" s="243"/>
      <c r="L372" s="243"/>
      <c r="M372" s="243"/>
      <c r="N372" s="243"/>
      <c r="O372" s="243"/>
    </row>
  </sheetData>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N80"/>
  <sheetViews>
    <sheetView zoomScale="90" zoomScaleNormal="90" workbookViewId="0">
      <selection activeCell="G58" sqref="G58:G69"/>
    </sheetView>
  </sheetViews>
  <sheetFormatPr defaultRowHeight="14.25"/>
  <cols>
    <col min="1" max="1" width="14.875" bestFit="1" customWidth="1"/>
    <col min="4" max="4" width="24.125" bestFit="1" customWidth="1"/>
  </cols>
  <sheetData>
    <row r="2" spans="1:5">
      <c r="A2" t="s">
        <v>868</v>
      </c>
      <c r="C2">
        <v>1</v>
      </c>
      <c r="D2" t="str">
        <f>INDEX($A$19:$A$23,$C$2)</f>
        <v>All</v>
      </c>
    </row>
    <row r="3" spans="1:5">
      <c r="A3" t="s">
        <v>872</v>
      </c>
      <c r="C3">
        <v>1</v>
      </c>
      <c r="D3" t="str">
        <f>INDEX($B$19:$B$21,$C$3)</f>
        <v>APEX</v>
      </c>
    </row>
    <row r="4" spans="1:5">
      <c r="A4" t="s">
        <v>887</v>
      </c>
      <c r="C4">
        <v>1</v>
      </c>
      <c r="D4" t="str">
        <f>INDEX($D$16:$D$23,$C$4)</f>
        <v>Nation</v>
      </c>
    </row>
    <row r="5" spans="1:5" ht="15">
      <c r="A5" s="175"/>
      <c r="B5" s="176" t="s">
        <v>873</v>
      </c>
      <c r="C5" s="176" t="s">
        <v>874</v>
      </c>
      <c r="D5" s="176" t="s">
        <v>875</v>
      </c>
    </row>
    <row r="6" spans="1:5">
      <c r="A6" s="175" t="s">
        <v>71</v>
      </c>
      <c r="B6" s="175">
        <v>3</v>
      </c>
      <c r="C6" s="175">
        <v>2</v>
      </c>
      <c r="D6" s="175">
        <f>C6-B6+1</f>
        <v>0</v>
      </c>
    </row>
    <row r="7" spans="1:5">
      <c r="A7" s="175" t="s">
        <v>72</v>
      </c>
      <c r="B7" s="175">
        <v>167</v>
      </c>
      <c r="C7" s="175">
        <v>330</v>
      </c>
      <c r="D7" s="175">
        <f>C7-B7+1</f>
        <v>164</v>
      </c>
    </row>
    <row r="8" spans="1:5">
      <c r="A8" s="175" t="s">
        <v>73</v>
      </c>
      <c r="B8" s="175">
        <v>331</v>
      </c>
      <c r="C8" s="175">
        <v>372</v>
      </c>
      <c r="D8" s="175">
        <f>C8-B8+1</f>
        <v>42</v>
      </c>
    </row>
    <row r="15" spans="1:5" ht="15">
      <c r="D15" s="79" t="s">
        <v>885</v>
      </c>
      <c r="E15" s="79" t="s">
        <v>82</v>
      </c>
    </row>
    <row r="16" spans="1:5">
      <c r="D16" t="s">
        <v>36</v>
      </c>
      <c r="E16" t="s">
        <v>36</v>
      </c>
    </row>
    <row r="17" spans="1:14">
      <c r="D17" t="s">
        <v>886</v>
      </c>
      <c r="E17" t="s">
        <v>34</v>
      </c>
    </row>
    <row r="18" spans="1:14" ht="15.75">
      <c r="A18" s="146" t="s">
        <v>50</v>
      </c>
      <c r="B18" s="79" t="s">
        <v>871</v>
      </c>
      <c r="D18" t="s">
        <v>32</v>
      </c>
      <c r="E18" t="s">
        <v>33</v>
      </c>
    </row>
    <row r="19" spans="1:14">
      <c r="A19" t="s">
        <v>75</v>
      </c>
      <c r="B19" t="s">
        <v>71</v>
      </c>
      <c r="D19" t="s">
        <v>29</v>
      </c>
      <c r="E19" t="s">
        <v>30</v>
      </c>
    </row>
    <row r="20" spans="1:14">
      <c r="A20" t="s">
        <v>77</v>
      </c>
      <c r="B20" t="s">
        <v>72</v>
      </c>
      <c r="D20" t="s">
        <v>27</v>
      </c>
      <c r="E20" t="s">
        <v>28</v>
      </c>
    </row>
    <row r="21" spans="1:14">
      <c r="A21" t="s">
        <v>78</v>
      </c>
      <c r="B21" t="s">
        <v>73</v>
      </c>
      <c r="D21" t="s">
        <v>24</v>
      </c>
      <c r="E21" t="s">
        <v>25</v>
      </c>
    </row>
    <row r="22" spans="1:14">
      <c r="A22" t="s">
        <v>79</v>
      </c>
      <c r="D22" t="s">
        <v>22</v>
      </c>
      <c r="E22" t="s">
        <v>23</v>
      </c>
    </row>
    <row r="23" spans="1:14">
      <c r="D23" t="s">
        <v>19</v>
      </c>
      <c r="E23" t="s">
        <v>20</v>
      </c>
    </row>
    <row r="26" spans="1:14">
      <c r="A26" t="s">
        <v>869</v>
      </c>
    </row>
    <row r="28" spans="1:14">
      <c r="B28" s="165" t="s">
        <v>34</v>
      </c>
      <c r="C28" s="162" t="s">
        <v>55</v>
      </c>
      <c r="D28" s="162" t="s">
        <v>54</v>
      </c>
      <c r="E28" s="191">
        <v>12</v>
      </c>
      <c r="F28" s="191">
        <v>9</v>
      </c>
      <c r="G28" s="189">
        <v>0.70999999999999797</v>
      </c>
      <c r="H28" s="189">
        <v>0.18</v>
      </c>
      <c r="I28" s="189">
        <v>-0.22</v>
      </c>
      <c r="J28" s="189">
        <v>-0.21</v>
      </c>
      <c r="K28" s="189">
        <v>-0.25</v>
      </c>
      <c r="L28" s="189">
        <v>0.11</v>
      </c>
      <c r="M28" s="29">
        <v>335</v>
      </c>
      <c r="N28" s="171" t="s">
        <v>26</v>
      </c>
    </row>
    <row r="29" spans="1:14">
      <c r="B29" s="166" t="s">
        <v>25</v>
      </c>
      <c r="C29" s="163" t="s">
        <v>53</v>
      </c>
      <c r="D29" s="163" t="s">
        <v>52</v>
      </c>
      <c r="E29" s="192">
        <v>29</v>
      </c>
      <c r="F29" s="192">
        <v>45</v>
      </c>
      <c r="G29" s="190">
        <v>0.79</v>
      </c>
      <c r="H29" s="190">
        <v>0.1</v>
      </c>
      <c r="I29" s="190">
        <v>-0.01</v>
      </c>
      <c r="J29" s="190">
        <v>-0.13</v>
      </c>
      <c r="K29" s="190">
        <v>-0.13</v>
      </c>
      <c r="L29" s="190">
        <v>0.22999999999999901</v>
      </c>
      <c r="M29" s="26">
        <v>343</v>
      </c>
      <c r="N29" s="172" t="s">
        <v>21</v>
      </c>
    </row>
    <row r="30" spans="1:14">
      <c r="B30" s="167" t="s">
        <v>23</v>
      </c>
      <c r="C30" s="164" t="s">
        <v>62</v>
      </c>
      <c r="D30" s="164" t="s">
        <v>63</v>
      </c>
      <c r="E30" s="193">
        <v>39</v>
      </c>
      <c r="F30" s="193">
        <v>23</v>
      </c>
      <c r="G30" s="189">
        <v>0.34999999999999898</v>
      </c>
      <c r="H30" s="189">
        <v>0.58999999999999897</v>
      </c>
      <c r="I30" s="189">
        <v>0.3</v>
      </c>
      <c r="J30" s="189">
        <v>0.56999999999999895</v>
      </c>
      <c r="K30" s="189">
        <v>0.32</v>
      </c>
      <c r="L30" s="189">
        <v>0.03</v>
      </c>
      <c r="M30" s="24">
        <v>299</v>
      </c>
      <c r="N30" s="173" t="s">
        <v>26</v>
      </c>
    </row>
    <row r="31" spans="1:14">
      <c r="B31" s="161"/>
      <c r="C31" s="159"/>
      <c r="D31" s="159"/>
      <c r="E31" s="159"/>
      <c r="F31" s="159"/>
      <c r="G31" s="159"/>
      <c r="H31" s="159"/>
      <c r="I31" s="159"/>
      <c r="J31" s="159"/>
      <c r="K31" s="159"/>
      <c r="L31" s="159"/>
      <c r="M31" s="159"/>
      <c r="N31" s="160"/>
    </row>
    <row r="34" spans="1:14">
      <c r="A34" t="s">
        <v>870</v>
      </c>
    </row>
    <row r="35" spans="1:14">
      <c r="B35" s="165" t="s">
        <v>55</v>
      </c>
      <c r="C35" s="162" t="s">
        <v>55</v>
      </c>
      <c r="D35" s="162" t="s">
        <v>54</v>
      </c>
      <c r="E35" s="191">
        <v>111</v>
      </c>
      <c r="F35" s="191">
        <v>90</v>
      </c>
      <c r="G35" s="189">
        <v>-0.28999999999999998</v>
      </c>
      <c r="H35" s="189">
        <v>-0.37</v>
      </c>
      <c r="I35" s="189">
        <v>-0.01</v>
      </c>
      <c r="J35" s="189">
        <v>-7.0000000000000007E-2</v>
      </c>
      <c r="K35" s="189">
        <v>-0.04</v>
      </c>
      <c r="L35" s="189">
        <v>0.31999999999999901</v>
      </c>
      <c r="M35" s="29">
        <v>260</v>
      </c>
      <c r="N35" s="171" t="s">
        <v>31</v>
      </c>
    </row>
    <row r="36" spans="1:14">
      <c r="B36" s="166" t="s">
        <v>55</v>
      </c>
      <c r="C36" s="163" t="s">
        <v>60</v>
      </c>
      <c r="D36" s="163" t="s">
        <v>59</v>
      </c>
      <c r="E36" s="192">
        <v>109</v>
      </c>
      <c r="F36" s="192">
        <v>86</v>
      </c>
      <c r="G36" s="190">
        <v>-0.25</v>
      </c>
      <c r="H36" s="190">
        <v>-0.31</v>
      </c>
      <c r="I36" s="190">
        <v>0.05</v>
      </c>
      <c r="J36" s="190">
        <v>-0.03</v>
      </c>
      <c r="K36" s="190">
        <v>0.02</v>
      </c>
      <c r="L36" s="190">
        <v>0.37999999999999901</v>
      </c>
      <c r="M36" s="26">
        <v>200</v>
      </c>
      <c r="N36" s="172" t="s">
        <v>26</v>
      </c>
    </row>
    <row r="37" spans="1:14">
      <c r="B37" s="167" t="s">
        <v>55</v>
      </c>
      <c r="C37" s="164" t="s">
        <v>58</v>
      </c>
      <c r="D37" s="164" t="s">
        <v>57</v>
      </c>
      <c r="E37" s="193">
        <v>105</v>
      </c>
      <c r="F37" s="193">
        <v>84</v>
      </c>
      <c r="G37" s="189">
        <v>-0.23</v>
      </c>
      <c r="H37" s="189">
        <v>-0.28000000000000003</v>
      </c>
      <c r="I37" s="189">
        <v>0.08</v>
      </c>
      <c r="J37" s="189">
        <v>-1.0000000000000999E-2</v>
      </c>
      <c r="K37" s="189">
        <v>0.05</v>
      </c>
      <c r="L37" s="189">
        <v>0.40999999999999898</v>
      </c>
      <c r="M37" s="24">
        <v>195</v>
      </c>
      <c r="N37" s="173" t="s">
        <v>18</v>
      </c>
    </row>
    <row r="38" spans="1:14">
      <c r="B38" s="161"/>
      <c r="C38" s="159"/>
      <c r="D38" s="159"/>
      <c r="E38" s="159"/>
      <c r="F38" s="159"/>
      <c r="G38" s="159"/>
      <c r="H38" s="159"/>
      <c r="I38" s="159"/>
      <c r="J38" s="159"/>
      <c r="K38" s="159"/>
      <c r="L38" s="159"/>
      <c r="M38" s="159"/>
      <c r="N38" s="160"/>
    </row>
    <row r="46" spans="1:14">
      <c r="A46" t="s">
        <v>931</v>
      </c>
    </row>
    <row r="47" spans="1:14">
      <c r="A47" t="s">
        <v>902</v>
      </c>
      <c r="B47" t="s">
        <v>17</v>
      </c>
      <c r="D47" t="s">
        <v>902</v>
      </c>
      <c r="E47" t="s">
        <v>16</v>
      </c>
    </row>
    <row r="48" spans="1:14">
      <c r="A48" s="183" t="s">
        <v>66</v>
      </c>
      <c r="B48">
        <f ca="1">SUM('Insights - Indication Driven'!P26:(OFFSET('Insights - Indication Driven'!P26,0,IndicationsData!$B$2-1)))</f>
        <v>0</v>
      </c>
      <c r="D48" s="183" t="s">
        <v>66</v>
      </c>
      <c r="E48">
        <f ca="1">SUM('Insights - Indication Driven'!P55:(OFFSET('Insights - Indication Driven'!P55,0,IndicationsData!$B$2-1)))</f>
        <v>0</v>
      </c>
    </row>
    <row r="49" spans="1:7">
      <c r="A49" s="183" t="s">
        <v>1060</v>
      </c>
      <c r="B49">
        <f ca="1">SUM('Insights - Indication Driven'!P27:(OFFSET('Insights - Indication Driven'!P27,0,IndicationsData!$B$2-1)))</f>
        <v>0</v>
      </c>
      <c r="D49" s="183" t="s">
        <v>1060</v>
      </c>
      <c r="E49">
        <f ca="1">SUM('Insights - Indication Driven'!P56:(OFFSET('Insights - Indication Driven'!P56,0,IndicationsData!$B$2-1)))</f>
        <v>0</v>
      </c>
    </row>
    <row r="50" spans="1:7">
      <c r="A50" s="183" t="s">
        <v>1061</v>
      </c>
      <c r="B50">
        <f ca="1">SUM('Insights - Indication Driven'!P28:(OFFSET('Insights - Indication Driven'!P28,0,IndicationsData!$B$2-1)))</f>
        <v>0</v>
      </c>
      <c r="D50" s="183" t="s">
        <v>1061</v>
      </c>
      <c r="E50">
        <f ca="1">SUM('Insights - Indication Driven'!P57:(OFFSET('Insights - Indication Driven'!P57,0,IndicationsData!$B$2-1)))</f>
        <v>0</v>
      </c>
    </row>
    <row r="51" spans="1:7">
      <c r="A51" s="183" t="s">
        <v>1062</v>
      </c>
      <c r="B51">
        <f ca="1">SUM('Insights - Indication Driven'!P29:(OFFSET('Insights - Indication Driven'!P29,0,IndicationsData!$B$2-1)))</f>
        <v>0</v>
      </c>
      <c r="D51" s="183" t="s">
        <v>1062</v>
      </c>
      <c r="E51">
        <f ca="1">SUM('Insights - Indication Driven'!P58:(OFFSET('Insights - Indication Driven'!P58,0,IndicationsData!$B$2-1)))</f>
        <v>0</v>
      </c>
    </row>
    <row r="52" spans="1:7">
      <c r="A52" s="183" t="s">
        <v>67</v>
      </c>
      <c r="B52">
        <f ca="1">SUM('Insights - Indication Driven'!P30:(OFFSET('Insights - Indication Driven'!P30,0,IndicationsData!$B$2-1)))</f>
        <v>0</v>
      </c>
      <c r="D52" s="183" t="s">
        <v>67</v>
      </c>
      <c r="E52">
        <f ca="1">SUM('Insights - Indication Driven'!P59:(OFFSET('Insights - Indication Driven'!P59,0,IndicationsData!$B$2-1)))</f>
        <v>0</v>
      </c>
    </row>
    <row r="53" spans="1:7">
      <c r="A53" s="183" t="s">
        <v>68</v>
      </c>
      <c r="B53">
        <f ca="1">SUM('Insights - Indication Driven'!P31:(OFFSET('Insights - Indication Driven'!P31,0,IndicationsData!$B$2-1)))</f>
        <v>0</v>
      </c>
      <c r="D53" s="183" t="s">
        <v>68</v>
      </c>
      <c r="E53">
        <f ca="1">SUM('Insights - Indication Driven'!P60:(OFFSET('Insights - Indication Driven'!P60,0,IndicationsData!$B$2-1)))</f>
        <v>0</v>
      </c>
    </row>
    <row r="54" spans="1:7">
      <c r="A54" s="188" t="s">
        <v>1064</v>
      </c>
      <c r="B54">
        <f ca="1">SUM('Insights - Indication Driven'!P32:(OFFSET('Insights - Indication Driven'!P32,0,IndicationsData!$B$2-1)))</f>
        <v>0</v>
      </c>
      <c r="D54" s="188" t="s">
        <v>1064</v>
      </c>
      <c r="E54">
        <f ca="1">SUM('Insights - Indication Driven'!P61:(OFFSET('Insights - Indication Driven'!P61,0,IndicationsData!$B$2-1)))</f>
        <v>0</v>
      </c>
    </row>
    <row r="55" spans="1:7">
      <c r="A55" s="188"/>
    </row>
    <row r="56" spans="1:7">
      <c r="A56" s="188" t="s">
        <v>932</v>
      </c>
    </row>
    <row r="57" spans="1:7">
      <c r="A57" s="188" t="s">
        <v>902</v>
      </c>
      <c r="B57">
        <v>2017</v>
      </c>
      <c r="C57">
        <v>2018</v>
      </c>
      <c r="E57" s="188" t="s">
        <v>902</v>
      </c>
      <c r="F57">
        <f>B57</f>
        <v>2017</v>
      </c>
      <c r="G57">
        <f>C57</f>
        <v>2018</v>
      </c>
    </row>
    <row r="58" spans="1:7">
      <c r="A58" t="s">
        <v>11</v>
      </c>
      <c r="B58">
        <v>0</v>
      </c>
      <c r="C58">
        <v>0</v>
      </c>
      <c r="E58" t="s">
        <v>11</v>
      </c>
      <c r="F58">
        <v>0</v>
      </c>
      <c r="G58">
        <v>0</v>
      </c>
    </row>
    <row r="59" spans="1:7">
      <c r="A59" t="s">
        <v>10</v>
      </c>
      <c r="B59">
        <v>0</v>
      </c>
      <c r="C59">
        <v>0</v>
      </c>
      <c r="E59" t="s">
        <v>10</v>
      </c>
      <c r="F59">
        <v>0</v>
      </c>
      <c r="G59">
        <v>0</v>
      </c>
    </row>
    <row r="60" spans="1:7">
      <c r="A60" t="s">
        <v>9</v>
      </c>
      <c r="B60">
        <v>0</v>
      </c>
      <c r="C60">
        <v>0</v>
      </c>
      <c r="E60" t="s">
        <v>9</v>
      </c>
      <c r="F60">
        <v>0</v>
      </c>
      <c r="G60">
        <v>0</v>
      </c>
    </row>
    <row r="61" spans="1:7">
      <c r="A61" t="s">
        <v>8</v>
      </c>
      <c r="B61">
        <v>0</v>
      </c>
      <c r="C61">
        <v>0</v>
      </c>
      <c r="E61" t="s">
        <v>8</v>
      </c>
      <c r="F61">
        <v>0</v>
      </c>
      <c r="G61">
        <v>0</v>
      </c>
    </row>
    <row r="62" spans="1:7">
      <c r="A62" t="s">
        <v>7</v>
      </c>
      <c r="B62">
        <v>0</v>
      </c>
      <c r="C62" t="s">
        <v>1059</v>
      </c>
      <c r="E62" t="s">
        <v>7</v>
      </c>
      <c r="F62">
        <v>0</v>
      </c>
      <c r="G62" t="s">
        <v>1059</v>
      </c>
    </row>
    <row r="63" spans="1:7">
      <c r="A63" t="s">
        <v>6</v>
      </c>
      <c r="B63">
        <v>0</v>
      </c>
      <c r="C63" t="s">
        <v>1059</v>
      </c>
      <c r="E63" t="s">
        <v>6</v>
      </c>
      <c r="F63">
        <v>0</v>
      </c>
      <c r="G63" t="s">
        <v>1059</v>
      </c>
    </row>
    <row r="64" spans="1:7">
      <c r="A64" t="s">
        <v>5</v>
      </c>
      <c r="B64">
        <v>0</v>
      </c>
      <c r="C64" t="s">
        <v>1059</v>
      </c>
      <c r="E64" t="s">
        <v>5</v>
      </c>
      <c r="F64">
        <v>0</v>
      </c>
      <c r="G64" t="s">
        <v>1059</v>
      </c>
    </row>
    <row r="65" spans="1:7">
      <c r="A65" t="s">
        <v>4</v>
      </c>
      <c r="B65">
        <v>0</v>
      </c>
      <c r="C65" t="s">
        <v>1059</v>
      </c>
      <c r="E65" t="s">
        <v>4</v>
      </c>
      <c r="F65">
        <v>0</v>
      </c>
      <c r="G65" t="s">
        <v>1059</v>
      </c>
    </row>
    <row r="66" spans="1:7">
      <c r="A66" t="s">
        <v>3</v>
      </c>
      <c r="B66">
        <v>0</v>
      </c>
      <c r="C66" t="s">
        <v>1059</v>
      </c>
      <c r="E66" t="s">
        <v>3</v>
      </c>
      <c r="F66">
        <v>0</v>
      </c>
      <c r="G66" t="s">
        <v>1059</v>
      </c>
    </row>
    <row r="67" spans="1:7">
      <c r="A67" t="s">
        <v>2</v>
      </c>
      <c r="B67">
        <v>0</v>
      </c>
      <c r="C67" t="s">
        <v>1059</v>
      </c>
      <c r="E67" t="s">
        <v>2</v>
      </c>
      <c r="F67">
        <v>0</v>
      </c>
      <c r="G67" t="s">
        <v>1059</v>
      </c>
    </row>
    <row r="68" spans="1:7">
      <c r="A68" t="s">
        <v>1</v>
      </c>
      <c r="B68">
        <v>0</v>
      </c>
      <c r="C68" t="s">
        <v>1059</v>
      </c>
      <c r="E68" t="s">
        <v>1</v>
      </c>
      <c r="F68">
        <v>0</v>
      </c>
      <c r="G68" t="s">
        <v>1059</v>
      </c>
    </row>
    <row r="69" spans="1:7">
      <c r="A69" t="s">
        <v>0</v>
      </c>
      <c r="B69">
        <v>0</v>
      </c>
      <c r="C69" t="s">
        <v>1059</v>
      </c>
      <c r="E69" t="s">
        <v>0</v>
      </c>
      <c r="F69">
        <v>0</v>
      </c>
      <c r="G69" t="s">
        <v>1059</v>
      </c>
    </row>
    <row r="70" spans="1:7">
      <c r="B70" s="80"/>
      <c r="C70" s="80"/>
    </row>
    <row r="71" spans="1:7">
      <c r="B71" s="80"/>
      <c r="C71" s="80"/>
    </row>
    <row r="75" spans="1:7">
      <c r="A75" s="183"/>
    </row>
    <row r="76" spans="1:7">
      <c r="A76" s="183"/>
    </row>
    <row r="77" spans="1:7">
      <c r="A77" s="183"/>
    </row>
    <row r="78" spans="1:7">
      <c r="A78" s="183"/>
    </row>
    <row r="79" spans="1:7">
      <c r="A79" s="183"/>
    </row>
    <row r="80" spans="1:7">
      <c r="A80" s="183"/>
    </row>
  </sheetData>
  <phoneticPr fontId="3" type="noConversion"/>
  <conditionalFormatting sqref="G28">
    <cfRule type="containsText" dxfId="31" priority="37" operator="containsText" text="NA">
      <formula>NOT(ISERROR(SEARCH("NA",G28)))</formula>
    </cfRule>
    <cfRule type="cellIs" dxfId="30" priority="39" operator="greaterThan">
      <formula>0.05</formula>
    </cfRule>
  </conditionalFormatting>
  <conditionalFormatting sqref="G28">
    <cfRule type="cellIs" dxfId="29" priority="36" operator="between">
      <formula>-0.05</formula>
      <formula>0.05</formula>
    </cfRule>
    <cfRule type="cellIs" dxfId="28" priority="38" operator="lessThan">
      <formula>-0.05</formula>
    </cfRule>
  </conditionalFormatting>
  <conditionalFormatting sqref="H28:L28">
    <cfRule type="containsText" dxfId="27" priority="33" operator="containsText" text="NA">
      <formula>NOT(ISERROR(SEARCH("NA",H28)))</formula>
    </cfRule>
    <cfRule type="cellIs" dxfId="26" priority="35" operator="greaterThan">
      <formula>0.05</formula>
    </cfRule>
  </conditionalFormatting>
  <conditionalFormatting sqref="H28:L28">
    <cfRule type="cellIs" dxfId="25" priority="32" operator="between">
      <formula>-0.05</formula>
      <formula>0.05</formula>
    </cfRule>
    <cfRule type="cellIs" dxfId="24" priority="34" operator="lessThan">
      <formula>-0.05</formula>
    </cfRule>
  </conditionalFormatting>
  <conditionalFormatting sqref="G30:L30">
    <cfRule type="containsText" dxfId="23" priority="29" operator="containsText" text="NA">
      <formula>NOT(ISERROR(SEARCH("NA",G30)))</formula>
    </cfRule>
    <cfRule type="cellIs" dxfId="22" priority="31" operator="greaterThan">
      <formula>0.05</formula>
    </cfRule>
  </conditionalFormatting>
  <conditionalFormatting sqref="G30:L30">
    <cfRule type="cellIs" dxfId="21" priority="28" operator="between">
      <formula>-0.05</formula>
      <formula>0.05</formula>
    </cfRule>
    <cfRule type="cellIs" dxfId="20" priority="30" operator="lessThan">
      <formula>-0.05</formula>
    </cfRule>
  </conditionalFormatting>
  <conditionalFormatting sqref="G29:L29">
    <cfRule type="containsText" dxfId="19" priority="25" operator="containsText" text="NA">
      <formula>NOT(ISERROR(SEARCH("NA",G29)))</formula>
    </cfRule>
    <cfRule type="cellIs" dxfId="18" priority="27" operator="greaterThan">
      <formula>0.05</formula>
    </cfRule>
  </conditionalFormatting>
  <conditionalFormatting sqref="G29:L29">
    <cfRule type="cellIs" dxfId="17" priority="24" operator="between">
      <formula>-0.05</formula>
      <formula>0.05</formula>
    </cfRule>
    <cfRule type="cellIs" dxfId="16" priority="26" operator="lessThan">
      <formula>-0.05</formula>
    </cfRule>
  </conditionalFormatting>
  <conditionalFormatting sqref="G35">
    <cfRule type="containsText" dxfId="15" priority="14" operator="containsText" text="NA">
      <formula>NOT(ISERROR(SEARCH("NA",G35)))</formula>
    </cfRule>
    <cfRule type="cellIs" dxfId="14" priority="16" operator="greaterThan">
      <formula>0.05</formula>
    </cfRule>
  </conditionalFormatting>
  <conditionalFormatting sqref="G35">
    <cfRule type="cellIs" dxfId="13" priority="13" operator="between">
      <formula>-0.05</formula>
      <formula>0.05</formula>
    </cfRule>
    <cfRule type="cellIs" dxfId="12" priority="15" operator="lessThan">
      <formula>-0.05</formula>
    </cfRule>
  </conditionalFormatting>
  <conditionalFormatting sqref="H35:L35">
    <cfRule type="containsText" dxfId="11" priority="10" operator="containsText" text="NA">
      <formula>NOT(ISERROR(SEARCH("NA",H35)))</formula>
    </cfRule>
    <cfRule type="cellIs" dxfId="10" priority="12" operator="greaterThan">
      <formula>0.05</formula>
    </cfRule>
  </conditionalFormatting>
  <conditionalFormatting sqref="H35:L35">
    <cfRule type="cellIs" dxfId="9" priority="9" operator="between">
      <formula>-0.05</formula>
      <formula>0.05</formula>
    </cfRule>
    <cfRule type="cellIs" dxfId="8" priority="11" operator="lessThan">
      <formula>-0.05</formula>
    </cfRule>
  </conditionalFormatting>
  <conditionalFormatting sqref="G37:L37">
    <cfRule type="containsText" dxfId="7" priority="6" operator="containsText" text="NA">
      <formula>NOT(ISERROR(SEARCH("NA",G37)))</formula>
    </cfRule>
    <cfRule type="cellIs" dxfId="6" priority="8" operator="greaterThan">
      <formula>0.05</formula>
    </cfRule>
  </conditionalFormatting>
  <conditionalFormatting sqref="G37:L37">
    <cfRule type="cellIs" dxfId="5" priority="5" operator="between">
      <formula>-0.05</formula>
      <formula>0.05</formula>
    </cfRule>
    <cfRule type="cellIs" dxfId="4" priority="7" operator="lessThan">
      <formula>-0.05</formula>
    </cfRule>
  </conditionalFormatting>
  <conditionalFormatting sqref="G36:L36">
    <cfRule type="containsText" dxfId="3" priority="2" operator="containsText" text="NA">
      <formula>NOT(ISERROR(SEARCH("NA",G36)))</formula>
    </cfRule>
    <cfRule type="cellIs" dxfId="2" priority="4" operator="greaterThan">
      <formula>0.05</formula>
    </cfRule>
  </conditionalFormatting>
  <conditionalFormatting sqref="G36:L36">
    <cfRule type="cellIs" dxfId="1" priority="1" operator="between">
      <formula>-0.05</formula>
      <formula>0.05</formula>
    </cfRule>
    <cfRule type="cellIs" dxfId="0" priority="3" operator="lessThan">
      <formula>-0.05</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29"/>
  <sheetViews>
    <sheetView workbookViewId="0">
      <selection activeCell="M2" sqref="M2"/>
    </sheetView>
  </sheetViews>
  <sheetFormatPr defaultRowHeight="14.25"/>
  <cols>
    <col min="1" max="1" width="3" bestFit="1" customWidth="1"/>
    <col min="2" max="2" width="7.25" bestFit="1" customWidth="1"/>
    <col min="3" max="3" width="8.75" bestFit="1" customWidth="1"/>
    <col min="4" max="4" width="15.125" bestFit="1" customWidth="1"/>
    <col min="5" max="5" width="22.125" bestFit="1" customWidth="1"/>
    <col min="6" max="6" width="23.25" bestFit="1" customWidth="1"/>
    <col min="7" max="7" width="33.25" bestFit="1" customWidth="1"/>
    <col min="8" max="8" width="34.625" bestFit="1" customWidth="1"/>
    <col min="9" max="9" width="30.375" customWidth="1"/>
    <col min="10" max="10" width="34.625" bestFit="1" customWidth="1"/>
    <col min="11" max="11" width="35.75" bestFit="1" customWidth="1"/>
    <col min="12" max="12" width="31.625" customWidth="1"/>
    <col min="13" max="13" width="28.625" customWidth="1"/>
    <col min="14" max="14" width="31.125" bestFit="1" customWidth="1"/>
    <col min="15" max="15" width="18" customWidth="1"/>
  </cols>
  <sheetData>
    <row r="1" spans="1:15">
      <c r="A1" t="s">
        <v>85</v>
      </c>
      <c r="B1" t="s">
        <v>86</v>
      </c>
      <c r="C1" t="s">
        <v>87</v>
      </c>
      <c r="D1" t="s">
        <v>88</v>
      </c>
      <c r="E1" t="s">
        <v>89</v>
      </c>
      <c r="F1" t="s">
        <v>96</v>
      </c>
      <c r="G1" t="s">
        <v>97</v>
      </c>
      <c r="H1" t="s">
        <v>98</v>
      </c>
      <c r="I1" t="s">
        <v>99</v>
      </c>
      <c r="J1" t="s">
        <v>100</v>
      </c>
      <c r="K1" t="s">
        <v>101</v>
      </c>
      <c r="L1" t="s">
        <v>102</v>
      </c>
      <c r="M1" t="s">
        <v>103</v>
      </c>
      <c r="N1" t="s">
        <v>104</v>
      </c>
      <c r="O1" t="s">
        <v>455</v>
      </c>
    </row>
    <row r="2" spans="1:15" ht="15">
      <c r="A2" s="129">
        <v>1</v>
      </c>
      <c r="B2" s="130" t="s">
        <v>61</v>
      </c>
      <c r="C2" s="79" t="s">
        <v>42</v>
      </c>
      <c r="D2" s="130" t="s">
        <v>456</v>
      </c>
      <c r="E2" s="130" t="s">
        <v>115</v>
      </c>
      <c r="F2" s="130" t="s">
        <v>116</v>
      </c>
      <c r="G2" s="130" t="s">
        <v>458</v>
      </c>
      <c r="H2" s="130" t="s">
        <v>108</v>
      </c>
      <c r="I2" s="130" t="s">
        <v>109</v>
      </c>
      <c r="J2" s="130" t="s">
        <v>459</v>
      </c>
      <c r="K2" s="130" t="s">
        <v>111</v>
      </c>
      <c r="L2" s="130" t="s">
        <v>112</v>
      </c>
      <c r="M2" s="130" t="s">
        <v>113</v>
      </c>
      <c r="N2" s="130" t="s">
        <v>114</v>
      </c>
      <c r="O2" s="130" t="s">
        <v>457</v>
      </c>
    </row>
    <row r="3" spans="1:15">
      <c r="A3">
        <v>2</v>
      </c>
      <c r="B3" t="s">
        <v>460</v>
      </c>
      <c r="C3" t="s">
        <v>461</v>
      </c>
      <c r="D3" t="s">
        <v>462</v>
      </c>
      <c r="E3" t="s">
        <v>463</v>
      </c>
      <c r="F3" t="s">
        <v>464</v>
      </c>
      <c r="G3" t="s">
        <v>465</v>
      </c>
      <c r="H3" t="s">
        <v>466</v>
      </c>
      <c r="I3" t="s">
        <v>467</v>
      </c>
      <c r="J3" t="s">
        <v>468</v>
      </c>
      <c r="K3" t="s">
        <v>469</v>
      </c>
      <c r="L3" t="s">
        <v>470</v>
      </c>
      <c r="M3" t="s">
        <v>471</v>
      </c>
      <c r="N3" t="s">
        <v>158</v>
      </c>
      <c r="O3" t="s">
        <v>71</v>
      </c>
    </row>
    <row r="4" spans="1:15">
      <c r="A4">
        <v>3</v>
      </c>
      <c r="B4" t="s">
        <v>460</v>
      </c>
      <c r="C4" t="s">
        <v>472</v>
      </c>
      <c r="D4" t="s">
        <v>473</v>
      </c>
      <c r="E4" t="s">
        <v>474</v>
      </c>
      <c r="F4" t="s">
        <v>475</v>
      </c>
      <c r="G4" t="s">
        <v>476</v>
      </c>
      <c r="H4" t="s">
        <v>477</v>
      </c>
      <c r="I4" t="s">
        <v>478</v>
      </c>
      <c r="J4" t="s">
        <v>479</v>
      </c>
      <c r="K4" t="s">
        <v>480</v>
      </c>
      <c r="L4" t="s">
        <v>481</v>
      </c>
      <c r="M4" t="s">
        <v>482</v>
      </c>
      <c r="N4" t="s">
        <v>170</v>
      </c>
      <c r="O4" t="s">
        <v>71</v>
      </c>
    </row>
    <row r="5" spans="1:15">
      <c r="A5">
        <v>4</v>
      </c>
      <c r="B5" t="s">
        <v>460</v>
      </c>
      <c r="C5" t="s">
        <v>483</v>
      </c>
      <c r="D5" t="s">
        <v>484</v>
      </c>
      <c r="E5" t="s">
        <v>485</v>
      </c>
      <c r="F5" t="s">
        <v>486</v>
      </c>
      <c r="G5" t="s">
        <v>487</v>
      </c>
      <c r="H5" t="s">
        <v>488</v>
      </c>
      <c r="I5" t="s">
        <v>489</v>
      </c>
      <c r="J5" t="s">
        <v>490</v>
      </c>
      <c r="K5" t="s">
        <v>491</v>
      </c>
      <c r="L5" t="s">
        <v>492</v>
      </c>
      <c r="M5" t="s">
        <v>493</v>
      </c>
      <c r="N5" t="s">
        <v>182</v>
      </c>
      <c r="O5" t="s">
        <v>71</v>
      </c>
    </row>
    <row r="6" spans="1:15">
      <c r="A6">
        <v>5</v>
      </c>
      <c r="B6" t="s">
        <v>538</v>
      </c>
      <c r="C6" t="s">
        <v>494</v>
      </c>
      <c r="D6" t="s">
        <v>495</v>
      </c>
      <c r="E6" t="s">
        <v>496</v>
      </c>
      <c r="F6" t="s">
        <v>497</v>
      </c>
      <c r="G6" t="s">
        <v>498</v>
      </c>
      <c r="H6" t="s">
        <v>499</v>
      </c>
      <c r="I6" t="s">
        <v>500</v>
      </c>
      <c r="J6" t="s">
        <v>501</v>
      </c>
      <c r="K6" t="s">
        <v>502</v>
      </c>
      <c r="L6" t="s">
        <v>503</v>
      </c>
      <c r="M6" t="s">
        <v>504</v>
      </c>
      <c r="N6" t="s">
        <v>194</v>
      </c>
      <c r="O6" t="s">
        <v>71</v>
      </c>
    </row>
    <row r="7" spans="1:15">
      <c r="A7">
        <v>6</v>
      </c>
      <c r="B7" t="s">
        <v>538</v>
      </c>
      <c r="C7" t="s">
        <v>505</v>
      </c>
      <c r="D7" t="s">
        <v>506</v>
      </c>
      <c r="E7" t="s">
        <v>507</v>
      </c>
      <c r="F7" t="s">
        <v>508</v>
      </c>
      <c r="G7" t="s">
        <v>509</v>
      </c>
      <c r="H7" t="s">
        <v>510</v>
      </c>
      <c r="I7" t="s">
        <v>511</v>
      </c>
      <c r="J7" t="s">
        <v>512</v>
      </c>
      <c r="K7" t="s">
        <v>513</v>
      </c>
      <c r="L7" t="s">
        <v>514</v>
      </c>
      <c r="M7" t="s">
        <v>515</v>
      </c>
      <c r="N7" t="s">
        <v>206</v>
      </c>
      <c r="O7" t="s">
        <v>71</v>
      </c>
    </row>
    <row r="8" spans="1:15">
      <c r="A8">
        <v>7</v>
      </c>
      <c r="B8" t="s">
        <v>538</v>
      </c>
      <c r="C8" t="s">
        <v>516</v>
      </c>
      <c r="D8" t="s">
        <v>517</v>
      </c>
      <c r="E8" t="s">
        <v>518</v>
      </c>
      <c r="F8" t="s">
        <v>519</v>
      </c>
      <c r="G8" t="s">
        <v>520</v>
      </c>
      <c r="H8" t="s">
        <v>521</v>
      </c>
      <c r="I8" t="s">
        <v>522</v>
      </c>
      <c r="J8" t="s">
        <v>523</v>
      </c>
      <c r="K8" t="s">
        <v>524</v>
      </c>
      <c r="L8" t="s">
        <v>525</v>
      </c>
      <c r="M8" t="s">
        <v>526</v>
      </c>
      <c r="N8" t="s">
        <v>218</v>
      </c>
      <c r="O8" t="s">
        <v>71</v>
      </c>
    </row>
    <row r="9" spans="1:15">
      <c r="A9">
        <v>8</v>
      </c>
      <c r="B9" t="s">
        <v>598</v>
      </c>
      <c r="C9" t="s">
        <v>527</v>
      </c>
      <c r="D9" t="s">
        <v>528</v>
      </c>
      <c r="E9" t="s">
        <v>529</v>
      </c>
      <c r="F9" t="s">
        <v>530</v>
      </c>
      <c r="G9" t="s">
        <v>531</v>
      </c>
      <c r="H9" t="s">
        <v>532</v>
      </c>
      <c r="I9" t="s">
        <v>533</v>
      </c>
      <c r="J9" t="s">
        <v>534</v>
      </c>
      <c r="K9" t="s">
        <v>535</v>
      </c>
      <c r="L9" t="s">
        <v>536</v>
      </c>
      <c r="M9" t="s">
        <v>537</v>
      </c>
      <c r="N9" t="s">
        <v>230</v>
      </c>
      <c r="O9" t="s">
        <v>71</v>
      </c>
    </row>
    <row r="10" spans="1:15">
      <c r="A10">
        <v>9</v>
      </c>
      <c r="B10" t="s">
        <v>598</v>
      </c>
      <c r="C10" t="s">
        <v>539</v>
      </c>
      <c r="D10" t="s">
        <v>540</v>
      </c>
      <c r="E10" t="s">
        <v>541</v>
      </c>
      <c r="F10" t="s">
        <v>542</v>
      </c>
      <c r="G10" t="s">
        <v>543</v>
      </c>
      <c r="H10" t="s">
        <v>544</v>
      </c>
      <c r="I10" t="s">
        <v>545</v>
      </c>
      <c r="J10" t="s">
        <v>546</v>
      </c>
      <c r="K10" t="s">
        <v>547</v>
      </c>
      <c r="L10" t="s">
        <v>548</v>
      </c>
      <c r="M10" t="s">
        <v>549</v>
      </c>
      <c r="N10" t="s">
        <v>444</v>
      </c>
      <c r="O10" t="s">
        <v>71</v>
      </c>
    </row>
    <row r="11" spans="1:15">
      <c r="A11">
        <v>10</v>
      </c>
      <c r="B11" t="s">
        <v>598</v>
      </c>
      <c r="C11" t="s">
        <v>550</v>
      </c>
      <c r="D11" t="s">
        <v>659</v>
      </c>
      <c r="E11" t="s">
        <v>678</v>
      </c>
      <c r="F11" t="s">
        <v>697</v>
      </c>
      <c r="G11" t="s">
        <v>716</v>
      </c>
      <c r="H11" t="s">
        <v>735</v>
      </c>
      <c r="I11" t="s">
        <v>754</v>
      </c>
      <c r="J11" t="s">
        <v>773</v>
      </c>
      <c r="K11" t="s">
        <v>792</v>
      </c>
      <c r="L11" t="s">
        <v>811</v>
      </c>
      <c r="M11" t="s">
        <v>830</v>
      </c>
      <c r="N11" t="s">
        <v>849</v>
      </c>
      <c r="O11" t="s">
        <v>71</v>
      </c>
    </row>
    <row r="12" spans="1:15">
      <c r="A12">
        <v>11</v>
      </c>
      <c r="B12" t="s">
        <v>460</v>
      </c>
      <c r="C12" t="s">
        <v>562</v>
      </c>
      <c r="D12" t="s">
        <v>660</v>
      </c>
      <c r="E12" t="s">
        <v>679</v>
      </c>
      <c r="F12" t="s">
        <v>698</v>
      </c>
      <c r="G12" t="s">
        <v>717</v>
      </c>
      <c r="H12" t="s">
        <v>736</v>
      </c>
      <c r="I12" t="s">
        <v>755</v>
      </c>
      <c r="J12" t="s">
        <v>774</v>
      </c>
      <c r="K12" t="s">
        <v>793</v>
      </c>
      <c r="L12" t="s">
        <v>812</v>
      </c>
      <c r="M12" t="s">
        <v>831</v>
      </c>
      <c r="N12" t="s">
        <v>850</v>
      </c>
      <c r="O12" t="s">
        <v>72</v>
      </c>
    </row>
    <row r="13" spans="1:15">
      <c r="A13">
        <v>12</v>
      </c>
      <c r="B13" t="s">
        <v>460</v>
      </c>
      <c r="C13" t="s">
        <v>574</v>
      </c>
      <c r="D13" t="s">
        <v>661</v>
      </c>
      <c r="E13" t="s">
        <v>680</v>
      </c>
      <c r="F13" t="s">
        <v>699</v>
      </c>
      <c r="G13" t="s">
        <v>718</v>
      </c>
      <c r="H13" t="s">
        <v>737</v>
      </c>
      <c r="I13" t="s">
        <v>756</v>
      </c>
      <c r="J13" t="s">
        <v>775</v>
      </c>
      <c r="K13" t="s">
        <v>794</v>
      </c>
      <c r="L13" t="s">
        <v>813</v>
      </c>
      <c r="M13" t="s">
        <v>832</v>
      </c>
      <c r="N13" t="s">
        <v>851</v>
      </c>
      <c r="O13" t="s">
        <v>72</v>
      </c>
    </row>
    <row r="14" spans="1:15">
      <c r="A14">
        <v>13</v>
      </c>
      <c r="B14" t="s">
        <v>460</v>
      </c>
      <c r="C14" t="s">
        <v>586</v>
      </c>
      <c r="D14" t="s">
        <v>662</v>
      </c>
      <c r="E14" t="s">
        <v>681</v>
      </c>
      <c r="F14" t="s">
        <v>700</v>
      </c>
      <c r="G14" t="s">
        <v>719</v>
      </c>
      <c r="H14" t="s">
        <v>738</v>
      </c>
      <c r="I14" t="s">
        <v>757</v>
      </c>
      <c r="J14" t="s">
        <v>776</v>
      </c>
      <c r="K14" t="s">
        <v>795</v>
      </c>
      <c r="L14" t="s">
        <v>814</v>
      </c>
      <c r="M14" t="s">
        <v>833</v>
      </c>
      <c r="N14" t="s">
        <v>852</v>
      </c>
      <c r="O14" t="s">
        <v>72</v>
      </c>
    </row>
    <row r="15" spans="1:15">
      <c r="A15">
        <v>14</v>
      </c>
      <c r="B15" t="s">
        <v>538</v>
      </c>
      <c r="C15" t="s">
        <v>599</v>
      </c>
      <c r="D15" t="s">
        <v>663</v>
      </c>
      <c r="E15" t="s">
        <v>682</v>
      </c>
      <c r="F15" t="s">
        <v>701</v>
      </c>
      <c r="G15" t="s">
        <v>720</v>
      </c>
      <c r="H15" t="s">
        <v>739</v>
      </c>
      <c r="I15" t="s">
        <v>758</v>
      </c>
      <c r="J15" t="s">
        <v>777</v>
      </c>
      <c r="K15" t="s">
        <v>796</v>
      </c>
      <c r="L15" t="s">
        <v>815</v>
      </c>
      <c r="M15" t="s">
        <v>834</v>
      </c>
      <c r="N15" t="s">
        <v>853</v>
      </c>
      <c r="O15" t="s">
        <v>72</v>
      </c>
    </row>
    <row r="16" spans="1:15">
      <c r="A16">
        <v>15</v>
      </c>
      <c r="B16" t="s">
        <v>538</v>
      </c>
      <c r="C16" t="s">
        <v>611</v>
      </c>
      <c r="D16" t="s">
        <v>664</v>
      </c>
      <c r="E16" t="s">
        <v>683</v>
      </c>
      <c r="F16" t="s">
        <v>702</v>
      </c>
      <c r="G16" t="s">
        <v>721</v>
      </c>
      <c r="H16" t="s">
        <v>740</v>
      </c>
      <c r="I16" t="s">
        <v>759</v>
      </c>
      <c r="J16" t="s">
        <v>778</v>
      </c>
      <c r="K16" t="s">
        <v>797</v>
      </c>
      <c r="L16" t="s">
        <v>816</v>
      </c>
      <c r="M16" t="s">
        <v>835</v>
      </c>
      <c r="N16" t="s">
        <v>854</v>
      </c>
      <c r="O16" t="s">
        <v>72</v>
      </c>
    </row>
    <row r="17" spans="1:15">
      <c r="A17">
        <v>16</v>
      </c>
      <c r="B17" t="s">
        <v>538</v>
      </c>
      <c r="C17" t="s">
        <v>623</v>
      </c>
      <c r="D17" t="s">
        <v>665</v>
      </c>
      <c r="E17" t="s">
        <v>684</v>
      </c>
      <c r="F17" t="s">
        <v>703</v>
      </c>
      <c r="G17" t="s">
        <v>722</v>
      </c>
      <c r="H17" t="s">
        <v>741</v>
      </c>
      <c r="I17" t="s">
        <v>760</v>
      </c>
      <c r="J17" t="s">
        <v>779</v>
      </c>
      <c r="K17" t="s">
        <v>798</v>
      </c>
      <c r="L17" t="s">
        <v>817</v>
      </c>
      <c r="M17" t="s">
        <v>836</v>
      </c>
      <c r="N17" t="s">
        <v>855</v>
      </c>
      <c r="O17" t="s">
        <v>72</v>
      </c>
    </row>
    <row r="18" spans="1:15">
      <c r="A18">
        <v>17</v>
      </c>
      <c r="B18" t="s">
        <v>598</v>
      </c>
      <c r="C18" t="s">
        <v>635</v>
      </c>
      <c r="D18" t="s">
        <v>666</v>
      </c>
      <c r="E18" t="s">
        <v>685</v>
      </c>
      <c r="F18" t="s">
        <v>704</v>
      </c>
      <c r="G18" t="s">
        <v>723</v>
      </c>
      <c r="H18" t="s">
        <v>742</v>
      </c>
      <c r="I18" t="s">
        <v>761</v>
      </c>
      <c r="J18" t="s">
        <v>780</v>
      </c>
      <c r="K18" t="s">
        <v>799</v>
      </c>
      <c r="L18" t="s">
        <v>818</v>
      </c>
      <c r="M18" t="s">
        <v>837</v>
      </c>
      <c r="N18" t="s">
        <v>856</v>
      </c>
      <c r="O18" t="s">
        <v>72</v>
      </c>
    </row>
    <row r="19" spans="1:15">
      <c r="A19">
        <v>18</v>
      </c>
      <c r="B19" t="s">
        <v>598</v>
      </c>
      <c r="C19" t="s">
        <v>648</v>
      </c>
      <c r="D19" t="s">
        <v>667</v>
      </c>
      <c r="E19" t="s">
        <v>686</v>
      </c>
      <c r="F19" t="s">
        <v>705</v>
      </c>
      <c r="G19" t="s">
        <v>724</v>
      </c>
      <c r="H19" t="s">
        <v>743</v>
      </c>
      <c r="I19" t="s">
        <v>762</v>
      </c>
      <c r="J19" t="s">
        <v>781</v>
      </c>
      <c r="K19" t="s">
        <v>800</v>
      </c>
      <c r="L19" t="s">
        <v>819</v>
      </c>
      <c r="M19" t="s">
        <v>838</v>
      </c>
      <c r="N19" t="s">
        <v>857</v>
      </c>
      <c r="O19" t="s">
        <v>72</v>
      </c>
    </row>
    <row r="20" spans="1:15">
      <c r="A20">
        <v>19</v>
      </c>
      <c r="B20" t="s">
        <v>598</v>
      </c>
      <c r="C20" t="s">
        <v>649</v>
      </c>
      <c r="D20" t="s">
        <v>668</v>
      </c>
      <c r="E20" t="s">
        <v>687</v>
      </c>
      <c r="F20" t="s">
        <v>706</v>
      </c>
      <c r="G20" t="s">
        <v>725</v>
      </c>
      <c r="H20" t="s">
        <v>744</v>
      </c>
      <c r="I20" t="s">
        <v>763</v>
      </c>
      <c r="J20" t="s">
        <v>782</v>
      </c>
      <c r="K20" t="s">
        <v>801</v>
      </c>
      <c r="L20" t="s">
        <v>820</v>
      </c>
      <c r="M20" t="s">
        <v>839</v>
      </c>
      <c r="N20" t="s">
        <v>858</v>
      </c>
      <c r="O20" t="s">
        <v>72</v>
      </c>
    </row>
    <row r="21" spans="1:15">
      <c r="A21">
        <v>20</v>
      </c>
      <c r="B21" t="s">
        <v>460</v>
      </c>
      <c r="C21" t="s">
        <v>650</v>
      </c>
      <c r="D21" t="s">
        <v>669</v>
      </c>
      <c r="E21" t="s">
        <v>688</v>
      </c>
      <c r="F21" t="s">
        <v>707</v>
      </c>
      <c r="G21" t="s">
        <v>726</v>
      </c>
      <c r="H21" t="s">
        <v>745</v>
      </c>
      <c r="I21" t="s">
        <v>764</v>
      </c>
      <c r="J21" t="s">
        <v>783</v>
      </c>
      <c r="K21" t="s">
        <v>802</v>
      </c>
      <c r="L21" t="s">
        <v>821</v>
      </c>
      <c r="M21" t="s">
        <v>840</v>
      </c>
      <c r="N21" t="s">
        <v>859</v>
      </c>
      <c r="O21" t="s">
        <v>73</v>
      </c>
    </row>
    <row r="22" spans="1:15">
      <c r="A22">
        <v>21</v>
      </c>
      <c r="B22" t="s">
        <v>460</v>
      </c>
      <c r="C22" t="s">
        <v>651</v>
      </c>
      <c r="D22" t="s">
        <v>670</v>
      </c>
      <c r="E22" t="s">
        <v>689</v>
      </c>
      <c r="F22" t="s">
        <v>708</v>
      </c>
      <c r="G22" t="s">
        <v>727</v>
      </c>
      <c r="H22" t="s">
        <v>746</v>
      </c>
      <c r="I22" t="s">
        <v>765</v>
      </c>
      <c r="J22" t="s">
        <v>784</v>
      </c>
      <c r="K22" t="s">
        <v>803</v>
      </c>
      <c r="L22" t="s">
        <v>822</v>
      </c>
      <c r="M22" t="s">
        <v>841</v>
      </c>
      <c r="N22" t="s">
        <v>860</v>
      </c>
      <c r="O22" t="s">
        <v>73</v>
      </c>
    </row>
    <row r="23" spans="1:15">
      <c r="A23">
        <v>22</v>
      </c>
      <c r="B23" t="s">
        <v>460</v>
      </c>
      <c r="C23" t="s">
        <v>652</v>
      </c>
      <c r="D23" t="s">
        <v>671</v>
      </c>
      <c r="E23" t="s">
        <v>690</v>
      </c>
      <c r="F23" t="s">
        <v>709</v>
      </c>
      <c r="G23" t="s">
        <v>728</v>
      </c>
      <c r="H23" t="s">
        <v>747</v>
      </c>
      <c r="I23" t="s">
        <v>766</v>
      </c>
      <c r="J23" t="s">
        <v>785</v>
      </c>
      <c r="K23" t="s">
        <v>804</v>
      </c>
      <c r="L23" t="s">
        <v>823</v>
      </c>
      <c r="M23" t="s">
        <v>842</v>
      </c>
      <c r="N23" t="s">
        <v>861</v>
      </c>
      <c r="O23" t="s">
        <v>73</v>
      </c>
    </row>
    <row r="24" spans="1:15">
      <c r="A24">
        <v>23</v>
      </c>
      <c r="B24" t="s">
        <v>538</v>
      </c>
      <c r="C24" t="s">
        <v>653</v>
      </c>
      <c r="D24" t="s">
        <v>672</v>
      </c>
      <c r="E24" t="s">
        <v>691</v>
      </c>
      <c r="F24" t="s">
        <v>710</v>
      </c>
      <c r="G24" t="s">
        <v>729</v>
      </c>
      <c r="H24" t="s">
        <v>748</v>
      </c>
      <c r="I24" t="s">
        <v>767</v>
      </c>
      <c r="J24" t="s">
        <v>786</v>
      </c>
      <c r="K24" t="s">
        <v>805</v>
      </c>
      <c r="L24" t="s">
        <v>824</v>
      </c>
      <c r="M24" t="s">
        <v>843</v>
      </c>
      <c r="N24" t="s">
        <v>862</v>
      </c>
      <c r="O24" t="s">
        <v>73</v>
      </c>
    </row>
    <row r="25" spans="1:15">
      <c r="A25">
        <v>24</v>
      </c>
      <c r="B25" t="s">
        <v>538</v>
      </c>
      <c r="C25" t="s">
        <v>654</v>
      </c>
      <c r="D25" t="s">
        <v>673</v>
      </c>
      <c r="E25" t="s">
        <v>692</v>
      </c>
      <c r="F25" t="s">
        <v>711</v>
      </c>
      <c r="G25" t="s">
        <v>730</v>
      </c>
      <c r="H25" t="s">
        <v>749</v>
      </c>
      <c r="I25" t="s">
        <v>768</v>
      </c>
      <c r="J25" t="s">
        <v>787</v>
      </c>
      <c r="K25" t="s">
        <v>806</v>
      </c>
      <c r="L25" t="s">
        <v>825</v>
      </c>
      <c r="M25" t="s">
        <v>844</v>
      </c>
      <c r="N25" t="s">
        <v>863</v>
      </c>
      <c r="O25" t="s">
        <v>73</v>
      </c>
    </row>
    <row r="26" spans="1:15">
      <c r="A26">
        <v>25</v>
      </c>
      <c r="B26" t="s">
        <v>538</v>
      </c>
      <c r="C26" t="s">
        <v>655</v>
      </c>
      <c r="D26" t="s">
        <v>674</v>
      </c>
      <c r="E26" t="s">
        <v>693</v>
      </c>
      <c r="F26" t="s">
        <v>712</v>
      </c>
      <c r="G26" t="s">
        <v>731</v>
      </c>
      <c r="H26" t="s">
        <v>750</v>
      </c>
      <c r="I26" t="s">
        <v>769</v>
      </c>
      <c r="J26" t="s">
        <v>788</v>
      </c>
      <c r="K26" t="s">
        <v>807</v>
      </c>
      <c r="L26" t="s">
        <v>826</v>
      </c>
      <c r="M26" t="s">
        <v>845</v>
      </c>
      <c r="N26" t="s">
        <v>864</v>
      </c>
      <c r="O26" t="s">
        <v>73</v>
      </c>
    </row>
    <row r="27" spans="1:15">
      <c r="A27">
        <v>26</v>
      </c>
      <c r="B27" t="s">
        <v>598</v>
      </c>
      <c r="C27" t="s">
        <v>656</v>
      </c>
      <c r="D27" t="s">
        <v>675</v>
      </c>
      <c r="E27" t="s">
        <v>694</v>
      </c>
      <c r="F27" t="s">
        <v>713</v>
      </c>
      <c r="G27" t="s">
        <v>732</v>
      </c>
      <c r="H27" t="s">
        <v>751</v>
      </c>
      <c r="I27" t="s">
        <v>770</v>
      </c>
      <c r="J27" t="s">
        <v>789</v>
      </c>
      <c r="K27" t="s">
        <v>808</v>
      </c>
      <c r="L27" t="s">
        <v>827</v>
      </c>
      <c r="M27" t="s">
        <v>846</v>
      </c>
      <c r="N27" t="s">
        <v>865</v>
      </c>
      <c r="O27" t="s">
        <v>73</v>
      </c>
    </row>
    <row r="28" spans="1:15">
      <c r="A28">
        <v>27</v>
      </c>
      <c r="B28" t="s">
        <v>598</v>
      </c>
      <c r="C28" t="s">
        <v>657</v>
      </c>
      <c r="D28" t="s">
        <v>676</v>
      </c>
      <c r="E28" t="s">
        <v>695</v>
      </c>
      <c r="F28" t="s">
        <v>714</v>
      </c>
      <c r="G28" t="s">
        <v>733</v>
      </c>
      <c r="H28" t="s">
        <v>752</v>
      </c>
      <c r="I28" t="s">
        <v>771</v>
      </c>
      <c r="J28" t="s">
        <v>790</v>
      </c>
      <c r="K28" t="s">
        <v>809</v>
      </c>
      <c r="L28" t="s">
        <v>828</v>
      </c>
      <c r="M28" t="s">
        <v>847</v>
      </c>
      <c r="N28" t="s">
        <v>866</v>
      </c>
      <c r="O28" t="s">
        <v>73</v>
      </c>
    </row>
    <row r="29" spans="1:15">
      <c r="A29">
        <v>28</v>
      </c>
      <c r="B29" t="s">
        <v>598</v>
      </c>
      <c r="C29" t="s">
        <v>658</v>
      </c>
      <c r="D29" t="s">
        <v>677</v>
      </c>
      <c r="E29" t="s">
        <v>696</v>
      </c>
      <c r="F29" t="s">
        <v>715</v>
      </c>
      <c r="G29" t="s">
        <v>734</v>
      </c>
      <c r="H29" t="s">
        <v>753</v>
      </c>
      <c r="I29" t="s">
        <v>772</v>
      </c>
      <c r="J29" t="s">
        <v>791</v>
      </c>
      <c r="K29" t="s">
        <v>810</v>
      </c>
      <c r="L29" t="s">
        <v>829</v>
      </c>
      <c r="M29" t="s">
        <v>848</v>
      </c>
      <c r="N29" t="s">
        <v>867</v>
      </c>
      <c r="O29" t="s">
        <v>73</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C64"/>
  <sheetViews>
    <sheetView showGridLines="0" zoomScale="90" zoomScaleNormal="90" workbookViewId="0"/>
  </sheetViews>
  <sheetFormatPr defaultRowHeight="15"/>
  <cols>
    <col min="1" max="2" width="1.75" customWidth="1"/>
    <col min="3" max="3" width="14.125" customWidth="1"/>
    <col min="4" max="4" width="7.625" customWidth="1"/>
    <col min="5" max="6" width="7.625" bestFit="1" customWidth="1"/>
    <col min="7" max="7" width="8.875" customWidth="1"/>
    <col min="8" max="10" width="7.625" bestFit="1" customWidth="1"/>
    <col min="11" max="12" width="6.875" customWidth="1"/>
    <col min="13" max="16" width="7.625" bestFit="1" customWidth="1"/>
    <col min="17" max="18" width="6.875" customWidth="1"/>
    <col min="19" max="20" width="7.375" customWidth="1"/>
    <col min="21" max="21" width="6.875" customWidth="1"/>
    <col min="22" max="22" width="8.25" customWidth="1"/>
    <col min="23" max="23" width="7.75" customWidth="1"/>
    <col min="24" max="25" width="7.375" customWidth="1"/>
    <col min="26" max="26" width="7" customWidth="1"/>
    <col min="27" max="27" width="6.875" customWidth="1"/>
    <col min="28" max="28" width="12.625" style="79" customWidth="1"/>
    <col min="29" max="29" width="1.75" style="88" customWidth="1"/>
    <col min="30" max="30" width="1.75" customWidth="1"/>
  </cols>
  <sheetData>
    <row r="1" spans="2:29" ht="3" customHeight="1"/>
    <row r="2" spans="2:29" s="80" customFormat="1" ht="15" customHeight="1">
      <c r="B2" s="174"/>
      <c r="C2" s="174"/>
      <c r="D2" s="81"/>
      <c r="E2" s="81"/>
      <c r="F2" s="81"/>
      <c r="G2" s="81"/>
      <c r="H2" s="259"/>
      <c r="I2" s="259"/>
      <c r="J2" s="259"/>
      <c r="K2" s="259"/>
      <c r="L2" s="81"/>
      <c r="M2" s="81"/>
      <c r="N2" s="81"/>
      <c r="O2" s="81"/>
      <c r="P2" s="81"/>
      <c r="Q2" s="174"/>
      <c r="R2" s="81"/>
      <c r="S2" s="81"/>
      <c r="T2" s="81"/>
      <c r="U2" s="81"/>
      <c r="V2" s="259"/>
      <c r="W2" s="259"/>
      <c r="X2" s="259"/>
      <c r="Y2" s="259"/>
      <c r="Z2" s="81"/>
      <c r="AA2" s="81"/>
      <c r="AB2" s="82"/>
      <c r="AC2" s="81"/>
    </row>
    <row r="3" spans="2:29" ht="15" customHeight="1">
      <c r="B3" s="119"/>
      <c r="C3" s="174"/>
      <c r="D3" s="81"/>
      <c r="E3" s="81"/>
      <c r="F3" s="81"/>
      <c r="G3" s="81"/>
      <c r="H3" s="259"/>
      <c r="I3" s="259"/>
      <c r="J3" s="259"/>
      <c r="K3" s="259"/>
      <c r="L3" s="81"/>
      <c r="M3" s="81"/>
      <c r="N3" s="81"/>
      <c r="O3" s="81"/>
      <c r="P3" s="81"/>
      <c r="Q3" s="174"/>
      <c r="R3" s="81"/>
      <c r="S3" s="81"/>
      <c r="T3" s="81"/>
      <c r="U3" s="81"/>
      <c r="V3" s="259"/>
      <c r="W3" s="259"/>
      <c r="X3" s="259"/>
      <c r="Y3" s="259"/>
      <c r="Z3" s="81"/>
      <c r="AA3" s="81"/>
      <c r="AB3" s="82"/>
      <c r="AC3" s="120"/>
    </row>
    <row r="4" spans="2:29" ht="20.100000000000001" customHeight="1">
      <c r="B4" s="119"/>
      <c r="C4" s="174"/>
      <c r="D4" s="81"/>
      <c r="E4" s="81"/>
      <c r="F4" s="81"/>
      <c r="G4" s="81"/>
      <c r="H4" s="259" t="s">
        <v>74</v>
      </c>
      <c r="I4" s="259"/>
      <c r="J4" s="259"/>
      <c r="K4" s="259"/>
      <c r="L4" s="259"/>
      <c r="M4" s="259"/>
      <c r="N4" s="259"/>
      <c r="O4" s="259"/>
      <c r="P4" s="259"/>
      <c r="Q4" s="259"/>
      <c r="R4" s="259"/>
      <c r="S4" s="259"/>
      <c r="T4" s="259"/>
      <c r="U4" s="259"/>
      <c r="V4" s="259"/>
      <c r="W4" s="259"/>
      <c r="X4" s="259"/>
      <c r="Y4" s="259"/>
      <c r="Z4" s="81"/>
      <c r="AA4" s="81"/>
      <c r="AB4" s="81"/>
      <c r="AC4" s="120"/>
    </row>
    <row r="5" spans="2:29" ht="15" customHeight="1">
      <c r="B5" s="119"/>
      <c r="C5" s="174"/>
      <c r="D5" s="81"/>
      <c r="E5" s="81"/>
      <c r="F5" s="81"/>
      <c r="G5" s="81"/>
      <c r="H5" s="253" t="s">
        <v>1100</v>
      </c>
      <c r="I5" s="253"/>
      <c r="J5" s="253"/>
      <c r="K5" s="253"/>
      <c r="L5" s="253"/>
      <c r="M5" s="253"/>
      <c r="N5" s="253"/>
      <c r="O5" s="253"/>
      <c r="P5" s="253"/>
      <c r="Q5" s="253"/>
      <c r="R5" s="253"/>
      <c r="S5" s="253"/>
      <c r="T5" s="253"/>
      <c r="U5" s="253"/>
      <c r="V5" s="253"/>
      <c r="W5" s="253"/>
      <c r="X5" s="253"/>
      <c r="Y5" s="253"/>
      <c r="Z5" s="83"/>
      <c r="AA5" s="82"/>
      <c r="AB5" s="81"/>
      <c r="AC5" s="120"/>
    </row>
    <row r="6" spans="2:29" ht="27" customHeight="1">
      <c r="B6" s="124"/>
      <c r="C6" s="108" t="s">
        <v>950</v>
      </c>
      <c r="D6" s="80"/>
      <c r="E6" s="80"/>
      <c r="F6" s="127"/>
      <c r="G6" s="80"/>
      <c r="H6" s="80"/>
      <c r="I6" s="80"/>
      <c r="J6" s="80"/>
      <c r="K6" s="80"/>
      <c r="L6" s="80"/>
      <c r="M6" s="80"/>
      <c r="N6" s="80"/>
      <c r="O6" s="80"/>
      <c r="P6" s="80"/>
      <c r="Q6" s="80"/>
      <c r="R6" s="80"/>
      <c r="S6" s="80"/>
      <c r="T6" s="80"/>
      <c r="U6" s="80"/>
      <c r="V6" s="80"/>
      <c r="W6" s="80"/>
      <c r="X6" s="80"/>
      <c r="Y6" s="80"/>
      <c r="Z6" s="80"/>
      <c r="AA6" s="80"/>
      <c r="AB6" s="177"/>
      <c r="AC6" s="178"/>
    </row>
    <row r="7" spans="2:29" ht="30.75" customHeight="1">
      <c r="B7" s="124"/>
      <c r="C7" s="269" t="s">
        <v>955</v>
      </c>
      <c r="D7" s="270"/>
      <c r="E7" s="270"/>
      <c r="F7" s="270"/>
      <c r="G7" s="270"/>
      <c r="H7" s="270"/>
      <c r="I7" s="270"/>
      <c r="J7" s="270"/>
      <c r="K7" s="270"/>
      <c r="L7" s="270"/>
      <c r="M7" s="270"/>
      <c r="N7" s="270"/>
      <c r="O7" s="270"/>
      <c r="P7" s="270"/>
      <c r="Q7" s="270"/>
      <c r="R7" s="270"/>
      <c r="S7" s="270"/>
      <c r="T7" s="270"/>
      <c r="U7" s="270"/>
      <c r="V7" s="270"/>
      <c r="W7" s="270"/>
      <c r="X7" s="270"/>
      <c r="Y7" s="270"/>
      <c r="Z7" s="270"/>
      <c r="AA7" s="270"/>
      <c r="AB7" s="270"/>
      <c r="AC7" s="178"/>
    </row>
    <row r="8" spans="2:29">
      <c r="B8" s="124"/>
      <c r="C8" s="179" t="s">
        <v>901</v>
      </c>
      <c r="D8" s="180"/>
      <c r="E8" s="180"/>
      <c r="F8" s="180"/>
      <c r="G8" s="180"/>
      <c r="H8" s="180"/>
      <c r="I8" s="180"/>
      <c r="J8" s="180"/>
      <c r="K8" s="180"/>
      <c r="L8" s="180"/>
      <c r="M8" s="180"/>
      <c r="N8" s="180"/>
      <c r="O8" s="180"/>
      <c r="P8" s="180"/>
      <c r="Q8" s="180"/>
      <c r="R8" s="180"/>
      <c r="S8" s="180"/>
      <c r="T8" s="180"/>
      <c r="U8" s="180"/>
      <c r="V8" s="180"/>
      <c r="W8" s="180"/>
      <c r="X8" s="180"/>
      <c r="Y8" s="180"/>
      <c r="Z8" s="180"/>
      <c r="AA8" s="180"/>
      <c r="AB8" s="181"/>
      <c r="AC8" s="178"/>
    </row>
    <row r="9" spans="2:29" ht="40.15" customHeight="1">
      <c r="B9" s="124"/>
      <c r="C9" s="182"/>
      <c r="D9" s="183"/>
      <c r="E9" s="183"/>
      <c r="F9" s="183"/>
      <c r="G9" s="183"/>
      <c r="H9" s="183"/>
      <c r="I9" s="183"/>
      <c r="J9" s="183"/>
      <c r="K9" s="183"/>
      <c r="L9" s="183"/>
      <c r="M9" s="183"/>
      <c r="N9" s="183"/>
      <c r="O9" s="183"/>
      <c r="P9" s="183"/>
      <c r="Q9" s="183"/>
      <c r="R9" s="183"/>
      <c r="S9" s="183"/>
      <c r="T9" s="183"/>
      <c r="U9" s="183"/>
      <c r="V9" s="183"/>
      <c r="W9" s="183"/>
      <c r="X9" s="183"/>
      <c r="Y9" s="183"/>
      <c r="Z9" s="183"/>
      <c r="AA9" s="183"/>
      <c r="AB9" s="184"/>
      <c r="AC9" s="178"/>
    </row>
    <row r="10" spans="2:29">
      <c r="B10" s="124"/>
      <c r="C10" s="182"/>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4"/>
      <c r="AC10" s="178"/>
    </row>
    <row r="11" spans="2:29">
      <c r="B11" s="124"/>
      <c r="C11" s="182"/>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4"/>
      <c r="AC11" s="178"/>
    </row>
    <row r="12" spans="2:29">
      <c r="B12" s="124"/>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4"/>
      <c r="AC12" s="178"/>
    </row>
    <row r="13" spans="2:29">
      <c r="B13" s="124"/>
      <c r="C13" s="182"/>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4"/>
      <c r="AC13" s="178"/>
    </row>
    <row r="14" spans="2:29">
      <c r="B14" s="124"/>
      <c r="C14" s="182"/>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4"/>
      <c r="AC14" s="178"/>
    </row>
    <row r="15" spans="2:29">
      <c r="B15" s="124"/>
      <c r="C15" s="182"/>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4"/>
      <c r="AC15" s="178"/>
    </row>
    <row r="16" spans="2:29">
      <c r="B16" s="124"/>
      <c r="C16" s="182"/>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4"/>
      <c r="AC16" s="178"/>
    </row>
    <row r="17" spans="2:29">
      <c r="B17" s="124"/>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4"/>
      <c r="AC17" s="178"/>
    </row>
    <row r="18" spans="2:29">
      <c r="B18" s="124"/>
      <c r="C18" s="182"/>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4"/>
      <c r="AC18" s="178"/>
    </row>
    <row r="19" spans="2:29">
      <c r="B19" s="124"/>
      <c r="C19" s="182"/>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4"/>
      <c r="AC19" s="178"/>
    </row>
    <row r="20" spans="2:29">
      <c r="B20" s="124"/>
      <c r="C20" s="182"/>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4"/>
      <c r="AC20" s="178"/>
    </row>
    <row r="21" spans="2:29">
      <c r="B21" s="124"/>
      <c r="C21" s="182"/>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4"/>
      <c r="AC21" s="178"/>
    </row>
    <row r="22" spans="2:29">
      <c r="B22" s="124"/>
      <c r="C22" s="182"/>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4"/>
      <c r="AC22" s="178"/>
    </row>
    <row r="23" spans="2:29">
      <c r="B23" s="124"/>
      <c r="C23" s="182"/>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4"/>
      <c r="AC23" s="178"/>
    </row>
    <row r="24" spans="2:29" s="80" customFormat="1">
      <c r="B24" s="124"/>
      <c r="C24" s="268" t="s">
        <v>64</v>
      </c>
      <c r="D24" s="268"/>
      <c r="E24" s="268"/>
      <c r="F24" s="268"/>
      <c r="G24" s="268"/>
      <c r="H24" s="268"/>
      <c r="I24" s="268"/>
      <c r="J24" s="268"/>
      <c r="K24" s="268"/>
      <c r="L24" s="268"/>
      <c r="M24" s="268"/>
      <c r="N24" s="268"/>
      <c r="O24" s="268"/>
      <c r="P24" s="268"/>
      <c r="Q24" s="268"/>
      <c r="R24" s="268"/>
      <c r="S24" s="268"/>
      <c r="T24" s="268"/>
      <c r="U24" s="268"/>
      <c r="V24" s="268"/>
      <c r="W24" s="268"/>
      <c r="X24" s="268"/>
      <c r="Y24" s="268"/>
      <c r="Z24" s="268"/>
      <c r="AA24" s="268"/>
      <c r="AB24" s="268"/>
      <c r="AC24" s="178"/>
    </row>
    <row r="25" spans="2:29" ht="56.25" customHeight="1">
      <c r="B25" s="124"/>
      <c r="C25" s="194" t="s">
        <v>902</v>
      </c>
      <c r="D25" s="195">
        <v>43117</v>
      </c>
      <c r="E25" s="195">
        <v>43148</v>
      </c>
      <c r="F25" s="195">
        <v>43176</v>
      </c>
      <c r="G25" s="195">
        <v>43207</v>
      </c>
      <c r="H25" s="195">
        <v>43237</v>
      </c>
      <c r="I25" s="195">
        <v>43268</v>
      </c>
      <c r="J25" s="195">
        <v>43298</v>
      </c>
      <c r="K25" s="195">
        <v>43329</v>
      </c>
      <c r="L25" s="195">
        <v>43360</v>
      </c>
      <c r="M25" s="195">
        <v>43390</v>
      </c>
      <c r="N25" s="195">
        <v>43421</v>
      </c>
      <c r="O25" s="195">
        <v>43451</v>
      </c>
      <c r="P25" s="195">
        <v>43118</v>
      </c>
      <c r="Q25" s="195">
        <v>43149</v>
      </c>
      <c r="R25" s="195">
        <v>43177</v>
      </c>
      <c r="S25" s="195">
        <v>43208</v>
      </c>
      <c r="T25" s="195">
        <v>43238</v>
      </c>
      <c r="U25" s="195">
        <v>43269</v>
      </c>
      <c r="V25" s="195">
        <v>43299</v>
      </c>
      <c r="W25" s="195">
        <v>43330</v>
      </c>
      <c r="X25" s="195">
        <v>43361</v>
      </c>
      <c r="Y25" s="195">
        <v>43391</v>
      </c>
      <c r="Z25" s="195">
        <v>43422</v>
      </c>
      <c r="AA25" s="195">
        <v>43452</v>
      </c>
      <c r="AB25" s="196" t="s">
        <v>65</v>
      </c>
      <c r="AC25" s="178"/>
    </row>
    <row r="26" spans="2:29">
      <c r="B26" s="124"/>
      <c r="C26" s="197" t="s">
        <v>66</v>
      </c>
      <c r="D26" s="199">
        <v>0</v>
      </c>
      <c r="E26" s="199">
        <v>0</v>
      </c>
      <c r="F26" s="199">
        <v>0</v>
      </c>
      <c r="G26" s="199">
        <v>0</v>
      </c>
      <c r="H26" s="199">
        <v>0</v>
      </c>
      <c r="I26" s="199">
        <v>0</v>
      </c>
      <c r="J26" s="199">
        <v>0</v>
      </c>
      <c r="K26" s="199">
        <v>0</v>
      </c>
      <c r="L26" s="199">
        <v>0</v>
      </c>
      <c r="M26" s="199">
        <v>0</v>
      </c>
      <c r="N26" s="199">
        <v>0</v>
      </c>
      <c r="O26" s="199">
        <v>0</v>
      </c>
      <c r="P26" s="199">
        <v>0</v>
      </c>
      <c r="Q26" s="199">
        <v>0</v>
      </c>
      <c r="R26" s="199">
        <v>0</v>
      </c>
      <c r="S26" s="199">
        <v>0</v>
      </c>
      <c r="T26" s="199"/>
      <c r="U26" s="199"/>
      <c r="V26" s="199"/>
      <c r="W26" s="199"/>
      <c r="X26" s="199"/>
      <c r="Y26" s="199"/>
      <c r="Z26" s="199"/>
      <c r="AA26" s="199"/>
      <c r="AB26" s="200">
        <f t="shared" ref="AB26:AB33" si="0">SUM(D26:AA26)</f>
        <v>0</v>
      </c>
      <c r="AC26" s="178"/>
    </row>
    <row r="27" spans="2:29">
      <c r="B27" s="124"/>
      <c r="C27" s="197" t="s">
        <v>1060</v>
      </c>
      <c r="D27" s="199">
        <v>0</v>
      </c>
      <c r="E27" s="199">
        <v>0</v>
      </c>
      <c r="F27" s="199">
        <v>0</v>
      </c>
      <c r="G27" s="199">
        <v>0</v>
      </c>
      <c r="H27" s="199">
        <v>0</v>
      </c>
      <c r="I27" s="199">
        <v>0</v>
      </c>
      <c r="J27" s="199">
        <v>0</v>
      </c>
      <c r="K27" s="199">
        <v>0</v>
      </c>
      <c r="L27" s="199">
        <v>0</v>
      </c>
      <c r="M27" s="199">
        <v>0</v>
      </c>
      <c r="N27" s="199">
        <v>0</v>
      </c>
      <c r="O27" s="199">
        <v>0</v>
      </c>
      <c r="P27" s="199">
        <v>0</v>
      </c>
      <c r="Q27" s="199">
        <v>0</v>
      </c>
      <c r="R27" s="199">
        <v>0</v>
      </c>
      <c r="S27" s="199">
        <v>0</v>
      </c>
      <c r="T27" s="199"/>
      <c r="U27" s="199"/>
      <c r="V27" s="199"/>
      <c r="W27" s="199"/>
      <c r="X27" s="199"/>
      <c r="Y27" s="199"/>
      <c r="Z27" s="199"/>
      <c r="AA27" s="199"/>
      <c r="AB27" s="200">
        <f t="shared" si="0"/>
        <v>0</v>
      </c>
      <c r="AC27" s="178"/>
    </row>
    <row r="28" spans="2:29">
      <c r="B28" s="124"/>
      <c r="C28" s="197" t="s">
        <v>1061</v>
      </c>
      <c r="D28" s="199">
        <v>0</v>
      </c>
      <c r="E28" s="199">
        <v>0</v>
      </c>
      <c r="F28" s="199">
        <v>0</v>
      </c>
      <c r="G28" s="199">
        <v>0</v>
      </c>
      <c r="H28" s="199">
        <v>0</v>
      </c>
      <c r="I28" s="199">
        <v>0</v>
      </c>
      <c r="J28" s="199">
        <v>0</v>
      </c>
      <c r="K28" s="199">
        <v>0</v>
      </c>
      <c r="L28" s="199">
        <v>0</v>
      </c>
      <c r="M28" s="199">
        <v>0</v>
      </c>
      <c r="N28" s="199">
        <v>0</v>
      </c>
      <c r="O28" s="199">
        <v>0</v>
      </c>
      <c r="P28" s="199">
        <v>0</v>
      </c>
      <c r="Q28" s="199">
        <v>0</v>
      </c>
      <c r="R28" s="199">
        <v>0</v>
      </c>
      <c r="S28" s="199">
        <v>0</v>
      </c>
      <c r="T28" s="199"/>
      <c r="U28" s="199"/>
      <c r="V28" s="199"/>
      <c r="W28" s="199"/>
      <c r="X28" s="199"/>
      <c r="Y28" s="199"/>
      <c r="Z28" s="199"/>
      <c r="AA28" s="199"/>
      <c r="AB28" s="200">
        <f t="shared" si="0"/>
        <v>0</v>
      </c>
      <c r="AC28" s="178"/>
    </row>
    <row r="29" spans="2:29">
      <c r="B29" s="124"/>
      <c r="C29" s="197" t="s">
        <v>1062</v>
      </c>
      <c r="D29" s="199">
        <v>0</v>
      </c>
      <c r="E29" s="199">
        <v>0</v>
      </c>
      <c r="F29" s="199">
        <v>0</v>
      </c>
      <c r="G29" s="199">
        <v>0</v>
      </c>
      <c r="H29" s="199">
        <v>0</v>
      </c>
      <c r="I29" s="199">
        <v>0</v>
      </c>
      <c r="J29" s="199">
        <v>0</v>
      </c>
      <c r="K29" s="199">
        <v>0</v>
      </c>
      <c r="L29" s="199">
        <v>0</v>
      </c>
      <c r="M29" s="199">
        <v>0</v>
      </c>
      <c r="N29" s="199">
        <v>0</v>
      </c>
      <c r="O29" s="199">
        <v>0</v>
      </c>
      <c r="P29" s="199">
        <v>0</v>
      </c>
      <c r="Q29" s="199">
        <v>0</v>
      </c>
      <c r="R29" s="199">
        <v>0</v>
      </c>
      <c r="S29" s="199">
        <v>0</v>
      </c>
      <c r="T29" s="199"/>
      <c r="U29" s="199"/>
      <c r="V29" s="199"/>
      <c r="W29" s="199"/>
      <c r="X29" s="199"/>
      <c r="Y29" s="199"/>
      <c r="Z29" s="199"/>
      <c r="AA29" s="199"/>
      <c r="AB29" s="200">
        <f t="shared" si="0"/>
        <v>0</v>
      </c>
      <c r="AC29" s="178"/>
    </row>
    <row r="30" spans="2:29">
      <c r="B30" s="124"/>
      <c r="C30" s="197" t="s">
        <v>67</v>
      </c>
      <c r="D30" s="199">
        <v>0</v>
      </c>
      <c r="E30" s="199">
        <v>0</v>
      </c>
      <c r="F30" s="199">
        <v>0</v>
      </c>
      <c r="G30" s="199">
        <v>0</v>
      </c>
      <c r="H30" s="199">
        <v>0</v>
      </c>
      <c r="I30" s="199">
        <v>0</v>
      </c>
      <c r="J30" s="199">
        <v>0</v>
      </c>
      <c r="K30" s="199">
        <v>0</v>
      </c>
      <c r="L30" s="199">
        <v>0</v>
      </c>
      <c r="M30" s="199">
        <v>0</v>
      </c>
      <c r="N30" s="199">
        <v>0</v>
      </c>
      <c r="O30" s="199">
        <v>0</v>
      </c>
      <c r="P30" s="199">
        <v>0</v>
      </c>
      <c r="Q30" s="199">
        <v>0</v>
      </c>
      <c r="R30" s="199">
        <v>0</v>
      </c>
      <c r="S30" s="199">
        <v>0</v>
      </c>
      <c r="T30" s="199"/>
      <c r="U30" s="199"/>
      <c r="V30" s="199"/>
      <c r="W30" s="199"/>
      <c r="X30" s="199"/>
      <c r="Y30" s="199"/>
      <c r="Z30" s="199"/>
      <c r="AA30" s="199"/>
      <c r="AB30" s="200">
        <f t="shared" si="0"/>
        <v>0</v>
      </c>
      <c r="AC30" s="178"/>
    </row>
    <row r="31" spans="2:29">
      <c r="B31" s="124"/>
      <c r="C31" s="197" t="s">
        <v>68</v>
      </c>
      <c r="D31" s="199">
        <v>0</v>
      </c>
      <c r="E31" s="199">
        <v>0</v>
      </c>
      <c r="F31" s="199">
        <v>0</v>
      </c>
      <c r="G31" s="199">
        <v>0</v>
      </c>
      <c r="H31" s="199">
        <v>0</v>
      </c>
      <c r="I31" s="199">
        <v>0</v>
      </c>
      <c r="J31" s="199">
        <v>0</v>
      </c>
      <c r="K31" s="199">
        <v>0</v>
      </c>
      <c r="L31" s="199">
        <v>0</v>
      </c>
      <c r="M31" s="199">
        <v>0</v>
      </c>
      <c r="N31" s="199">
        <v>0</v>
      </c>
      <c r="O31" s="199">
        <v>0</v>
      </c>
      <c r="P31" s="199">
        <v>0</v>
      </c>
      <c r="Q31" s="199">
        <v>0</v>
      </c>
      <c r="R31" s="199">
        <v>0</v>
      </c>
      <c r="S31" s="199">
        <v>0</v>
      </c>
      <c r="T31" s="199"/>
      <c r="U31" s="199"/>
      <c r="V31" s="199"/>
      <c r="W31" s="199"/>
      <c r="X31" s="199"/>
      <c r="Y31" s="199"/>
      <c r="Z31" s="199"/>
      <c r="AA31" s="199"/>
      <c r="AB31" s="200">
        <f t="shared" ref="AB31" si="1">SUM(D31:AA31)</f>
        <v>0</v>
      </c>
      <c r="AC31" s="178"/>
    </row>
    <row r="32" spans="2:29">
      <c r="B32" s="124"/>
      <c r="C32" s="197" t="s">
        <v>1063</v>
      </c>
      <c r="D32" s="199">
        <v>0</v>
      </c>
      <c r="E32" s="199">
        <v>0</v>
      </c>
      <c r="F32" s="199">
        <v>0</v>
      </c>
      <c r="G32" s="199">
        <v>0</v>
      </c>
      <c r="H32" s="199">
        <v>0</v>
      </c>
      <c r="I32" s="199">
        <v>0</v>
      </c>
      <c r="J32" s="199">
        <v>0</v>
      </c>
      <c r="K32" s="199">
        <v>0</v>
      </c>
      <c r="L32" s="199">
        <v>0</v>
      </c>
      <c r="M32" s="199">
        <v>0</v>
      </c>
      <c r="N32" s="199">
        <v>0</v>
      </c>
      <c r="O32" s="199">
        <v>0</v>
      </c>
      <c r="P32" s="199">
        <v>0</v>
      </c>
      <c r="Q32" s="199">
        <v>0</v>
      </c>
      <c r="R32" s="199">
        <v>0</v>
      </c>
      <c r="S32" s="199">
        <v>0</v>
      </c>
      <c r="T32" s="199"/>
      <c r="U32" s="199"/>
      <c r="V32" s="199"/>
      <c r="W32" s="199"/>
      <c r="X32" s="199"/>
      <c r="Y32" s="199"/>
      <c r="Z32" s="199"/>
      <c r="AA32" s="199"/>
      <c r="AB32" s="200">
        <f t="shared" si="0"/>
        <v>0</v>
      </c>
      <c r="AC32" s="178"/>
    </row>
    <row r="33" spans="2:29">
      <c r="B33" s="124"/>
      <c r="C33" s="198" t="s">
        <v>65</v>
      </c>
      <c r="D33" s="200">
        <f>IF(D26="","",SUM(D26:D32))</f>
        <v>0</v>
      </c>
      <c r="E33" s="200">
        <f t="shared" ref="E33:AA33" si="2">IF(E26="","",SUM(E26:E32))</f>
        <v>0</v>
      </c>
      <c r="F33" s="200">
        <f t="shared" si="2"/>
        <v>0</v>
      </c>
      <c r="G33" s="200">
        <f t="shared" si="2"/>
        <v>0</v>
      </c>
      <c r="H33" s="200">
        <f t="shared" si="2"/>
        <v>0</v>
      </c>
      <c r="I33" s="200">
        <f t="shared" si="2"/>
        <v>0</v>
      </c>
      <c r="J33" s="200">
        <f t="shared" si="2"/>
        <v>0</v>
      </c>
      <c r="K33" s="200">
        <f t="shared" si="2"/>
        <v>0</v>
      </c>
      <c r="L33" s="200">
        <f t="shared" si="2"/>
        <v>0</v>
      </c>
      <c r="M33" s="200">
        <f t="shared" si="2"/>
        <v>0</v>
      </c>
      <c r="N33" s="200">
        <f t="shared" si="2"/>
        <v>0</v>
      </c>
      <c r="O33" s="200">
        <f t="shared" si="2"/>
        <v>0</v>
      </c>
      <c r="P33" s="200">
        <f t="shared" si="2"/>
        <v>0</v>
      </c>
      <c r="Q33" s="200">
        <f t="shared" si="2"/>
        <v>0</v>
      </c>
      <c r="R33" s="200">
        <f t="shared" si="2"/>
        <v>0</v>
      </c>
      <c r="S33" s="200">
        <f t="shared" si="2"/>
        <v>0</v>
      </c>
      <c r="T33" s="200" t="str">
        <f t="shared" si="2"/>
        <v/>
      </c>
      <c r="U33" s="200" t="str">
        <f t="shared" si="2"/>
        <v/>
      </c>
      <c r="V33" s="200" t="str">
        <f t="shared" si="2"/>
        <v/>
      </c>
      <c r="W33" s="200" t="str">
        <f t="shared" si="2"/>
        <v/>
      </c>
      <c r="X33" s="200" t="str">
        <f t="shared" si="2"/>
        <v/>
      </c>
      <c r="Y33" s="200" t="str">
        <f t="shared" si="2"/>
        <v/>
      </c>
      <c r="Z33" s="200" t="str">
        <f t="shared" si="2"/>
        <v/>
      </c>
      <c r="AA33" s="200" t="str">
        <f t="shared" si="2"/>
        <v/>
      </c>
      <c r="AB33" s="200">
        <f t="shared" si="0"/>
        <v>0</v>
      </c>
      <c r="AC33" s="178"/>
    </row>
    <row r="34" spans="2:29">
      <c r="B34" s="124"/>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5"/>
      <c r="AC34" s="178"/>
    </row>
    <row r="35" spans="2:29">
      <c r="B35" s="124"/>
      <c r="C35" s="179" t="s">
        <v>903</v>
      </c>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1"/>
      <c r="AC35" s="178"/>
    </row>
    <row r="36" spans="2:29">
      <c r="B36" s="124"/>
      <c r="C36" s="182"/>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4"/>
      <c r="AC36" s="178"/>
    </row>
    <row r="37" spans="2:29">
      <c r="B37" s="124"/>
      <c r="C37" s="182"/>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4"/>
      <c r="AC37" s="178"/>
    </row>
    <row r="38" spans="2:29">
      <c r="B38" s="124"/>
      <c r="C38" s="182"/>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4"/>
      <c r="AC38" s="178"/>
    </row>
    <row r="39" spans="2:29">
      <c r="B39" s="124"/>
      <c r="C39" s="182"/>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4"/>
      <c r="AC39" s="178"/>
    </row>
    <row r="40" spans="2:29">
      <c r="B40" s="124"/>
      <c r="C40" s="182"/>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4"/>
      <c r="AC40" s="178"/>
    </row>
    <row r="41" spans="2:29">
      <c r="B41" s="124"/>
      <c r="C41" s="182"/>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4"/>
      <c r="AC41" s="178"/>
    </row>
    <row r="42" spans="2:29">
      <c r="B42" s="124"/>
      <c r="C42" s="182"/>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4"/>
      <c r="AC42" s="178"/>
    </row>
    <row r="43" spans="2:29">
      <c r="B43" s="124"/>
      <c r="C43" s="182"/>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4"/>
      <c r="AC43" s="178"/>
    </row>
    <row r="44" spans="2:29">
      <c r="B44" s="124"/>
      <c r="C44" s="182"/>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4"/>
      <c r="AC44" s="178"/>
    </row>
    <row r="45" spans="2:29">
      <c r="B45" s="124"/>
      <c r="C45" s="182"/>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4"/>
      <c r="AC45" s="178"/>
    </row>
    <row r="46" spans="2:29">
      <c r="B46" s="124"/>
      <c r="C46" s="182"/>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4"/>
      <c r="AC46" s="178"/>
    </row>
    <row r="47" spans="2:29">
      <c r="B47" s="124"/>
      <c r="C47" s="182"/>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4"/>
      <c r="AC47" s="178"/>
    </row>
    <row r="48" spans="2:29">
      <c r="B48" s="124"/>
      <c r="C48" s="182"/>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4"/>
      <c r="AC48" s="178"/>
    </row>
    <row r="49" spans="2:29">
      <c r="B49" s="124"/>
      <c r="C49" s="182"/>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4"/>
      <c r="AC49" s="178"/>
    </row>
    <row r="50" spans="2:29">
      <c r="B50" s="124"/>
      <c r="C50" s="182"/>
      <c r="D50" s="183"/>
      <c r="E50" s="183"/>
      <c r="F50" s="183"/>
      <c r="G50" s="183"/>
      <c r="H50" s="183"/>
      <c r="I50" s="183"/>
      <c r="J50" s="183"/>
      <c r="K50" s="183"/>
      <c r="L50" s="183"/>
      <c r="M50" s="183"/>
      <c r="N50" s="183"/>
      <c r="O50" s="183"/>
      <c r="P50" s="183"/>
      <c r="Q50" s="183"/>
      <c r="R50" s="183"/>
      <c r="S50" s="183"/>
      <c r="T50" s="183"/>
      <c r="U50" s="183"/>
      <c r="V50" s="183"/>
      <c r="W50" s="183"/>
      <c r="X50" s="183"/>
      <c r="Y50" s="183"/>
      <c r="Z50" s="183"/>
      <c r="AA50" s="183"/>
      <c r="AB50" s="184"/>
      <c r="AC50" s="178"/>
    </row>
    <row r="51" spans="2:29">
      <c r="B51" s="124"/>
      <c r="C51" s="182"/>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4"/>
      <c r="AC51" s="178"/>
    </row>
    <row r="52" spans="2:29">
      <c r="B52" s="124"/>
      <c r="C52" s="182"/>
      <c r="D52" s="183"/>
      <c r="E52" s="183"/>
      <c r="F52" s="183"/>
      <c r="G52" s="183"/>
      <c r="H52" s="183"/>
      <c r="I52" s="183"/>
      <c r="J52" s="183"/>
      <c r="K52" s="183"/>
      <c r="L52" s="183"/>
      <c r="M52" s="183"/>
      <c r="N52" s="183"/>
      <c r="O52" s="183"/>
      <c r="P52" s="183"/>
      <c r="Q52" s="183"/>
      <c r="R52" s="183"/>
      <c r="S52" s="183"/>
      <c r="T52" s="183"/>
      <c r="U52" s="183"/>
      <c r="V52" s="183"/>
      <c r="W52" s="183"/>
      <c r="X52" s="183"/>
      <c r="Y52" s="183"/>
      <c r="Z52" s="183"/>
      <c r="AA52" s="183"/>
      <c r="AB52" s="184"/>
      <c r="AC52" s="178"/>
    </row>
    <row r="53" spans="2:29">
      <c r="B53" s="124"/>
      <c r="C53" s="267" t="s">
        <v>69</v>
      </c>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178"/>
    </row>
    <row r="54" spans="2:29" ht="56.25" customHeight="1">
      <c r="B54" s="124"/>
      <c r="C54" s="194" t="s">
        <v>902</v>
      </c>
      <c r="D54" s="195">
        <v>43117</v>
      </c>
      <c r="E54" s="195">
        <v>43148</v>
      </c>
      <c r="F54" s="195">
        <v>43176</v>
      </c>
      <c r="G54" s="195">
        <v>43207</v>
      </c>
      <c r="H54" s="195">
        <v>43237</v>
      </c>
      <c r="I54" s="195">
        <v>43268</v>
      </c>
      <c r="J54" s="195">
        <v>43298</v>
      </c>
      <c r="K54" s="195">
        <v>43329</v>
      </c>
      <c r="L54" s="195">
        <v>43360</v>
      </c>
      <c r="M54" s="195">
        <v>43390</v>
      </c>
      <c r="N54" s="195">
        <v>43421</v>
      </c>
      <c r="O54" s="195">
        <v>43451</v>
      </c>
      <c r="P54" s="195">
        <v>43118</v>
      </c>
      <c r="Q54" s="195">
        <v>43149</v>
      </c>
      <c r="R54" s="195">
        <v>43177</v>
      </c>
      <c r="S54" s="195">
        <v>43208</v>
      </c>
      <c r="T54" s="195">
        <v>43238</v>
      </c>
      <c r="U54" s="195">
        <v>43269</v>
      </c>
      <c r="V54" s="195">
        <v>43299</v>
      </c>
      <c r="W54" s="195">
        <v>43330</v>
      </c>
      <c r="X54" s="195">
        <v>43361</v>
      </c>
      <c r="Y54" s="195">
        <v>43391</v>
      </c>
      <c r="Z54" s="195">
        <v>43422</v>
      </c>
      <c r="AA54" s="195">
        <v>43452</v>
      </c>
      <c r="AB54" s="196" t="s">
        <v>65</v>
      </c>
      <c r="AC54" s="178"/>
    </row>
    <row r="55" spans="2:29">
      <c r="B55" s="124"/>
      <c r="C55" s="197" t="s">
        <v>66</v>
      </c>
      <c r="D55" s="199">
        <v>0</v>
      </c>
      <c r="E55" s="199">
        <v>0</v>
      </c>
      <c r="F55" s="199">
        <v>0</v>
      </c>
      <c r="G55" s="199">
        <v>0</v>
      </c>
      <c r="H55" s="199">
        <v>0</v>
      </c>
      <c r="I55" s="199">
        <v>0</v>
      </c>
      <c r="J55" s="199">
        <v>0</v>
      </c>
      <c r="K55" s="199">
        <v>0</v>
      </c>
      <c r="L55" s="199">
        <v>0</v>
      </c>
      <c r="M55" s="199">
        <v>0</v>
      </c>
      <c r="N55" s="199">
        <v>0</v>
      </c>
      <c r="O55" s="199">
        <v>0</v>
      </c>
      <c r="P55" s="199">
        <v>0</v>
      </c>
      <c r="Q55" s="199">
        <v>0</v>
      </c>
      <c r="R55" s="199">
        <v>0</v>
      </c>
      <c r="S55" s="199">
        <v>0</v>
      </c>
      <c r="T55" s="199"/>
      <c r="U55" s="199"/>
      <c r="V55" s="199"/>
      <c r="W55" s="199"/>
      <c r="X55" s="199"/>
      <c r="Y55" s="199"/>
      <c r="Z55" s="199"/>
      <c r="AA55" s="199"/>
      <c r="AB55" s="200">
        <f t="shared" ref="AB55:AB61" si="3">SUM(D55:AA55)</f>
        <v>0</v>
      </c>
      <c r="AC55" s="178"/>
    </row>
    <row r="56" spans="2:29">
      <c r="B56" s="124"/>
      <c r="C56" s="197" t="s">
        <v>1060</v>
      </c>
      <c r="D56" s="199">
        <v>0</v>
      </c>
      <c r="E56" s="199">
        <v>0</v>
      </c>
      <c r="F56" s="199">
        <v>0</v>
      </c>
      <c r="G56" s="199">
        <v>0</v>
      </c>
      <c r="H56" s="199">
        <v>0</v>
      </c>
      <c r="I56" s="199">
        <v>0</v>
      </c>
      <c r="J56" s="199">
        <v>0</v>
      </c>
      <c r="K56" s="199">
        <v>0</v>
      </c>
      <c r="L56" s="199">
        <v>0</v>
      </c>
      <c r="M56" s="199">
        <v>0</v>
      </c>
      <c r="N56" s="199">
        <v>0</v>
      </c>
      <c r="O56" s="199">
        <v>0</v>
      </c>
      <c r="P56" s="199">
        <v>0</v>
      </c>
      <c r="Q56" s="199">
        <v>0</v>
      </c>
      <c r="R56" s="199">
        <v>0</v>
      </c>
      <c r="S56" s="199">
        <v>0</v>
      </c>
      <c r="T56" s="199"/>
      <c r="U56" s="199"/>
      <c r="V56" s="199"/>
      <c r="W56" s="199"/>
      <c r="X56" s="199"/>
      <c r="Y56" s="199"/>
      <c r="Z56" s="199"/>
      <c r="AA56" s="199"/>
      <c r="AB56" s="200">
        <f t="shared" si="3"/>
        <v>0</v>
      </c>
      <c r="AC56" s="178"/>
    </row>
    <row r="57" spans="2:29">
      <c r="B57" s="124"/>
      <c r="C57" s="197" t="s">
        <v>1061</v>
      </c>
      <c r="D57" s="199">
        <v>0</v>
      </c>
      <c r="E57" s="199">
        <v>0</v>
      </c>
      <c r="F57" s="199">
        <v>0</v>
      </c>
      <c r="G57" s="199">
        <v>0</v>
      </c>
      <c r="H57" s="199">
        <v>0</v>
      </c>
      <c r="I57" s="199">
        <v>0</v>
      </c>
      <c r="J57" s="199">
        <v>0</v>
      </c>
      <c r="K57" s="199">
        <v>0</v>
      </c>
      <c r="L57" s="199">
        <v>0</v>
      </c>
      <c r="M57" s="199">
        <v>0</v>
      </c>
      <c r="N57" s="199">
        <v>0</v>
      </c>
      <c r="O57" s="199">
        <v>0</v>
      </c>
      <c r="P57" s="199">
        <v>0</v>
      </c>
      <c r="Q57" s="199">
        <v>0</v>
      </c>
      <c r="R57" s="199">
        <v>0</v>
      </c>
      <c r="S57" s="199">
        <v>0</v>
      </c>
      <c r="T57" s="199"/>
      <c r="U57" s="199"/>
      <c r="V57" s="199"/>
      <c r="W57" s="199"/>
      <c r="X57" s="199"/>
      <c r="Y57" s="199"/>
      <c r="Z57" s="199"/>
      <c r="AA57" s="199"/>
      <c r="AB57" s="200">
        <f t="shared" si="3"/>
        <v>0</v>
      </c>
      <c r="AC57" s="178"/>
    </row>
    <row r="58" spans="2:29">
      <c r="B58" s="124"/>
      <c r="C58" s="197" t="s">
        <v>1062</v>
      </c>
      <c r="D58" s="199">
        <v>0</v>
      </c>
      <c r="E58" s="199">
        <v>0</v>
      </c>
      <c r="F58" s="199">
        <v>0</v>
      </c>
      <c r="G58" s="199">
        <v>0</v>
      </c>
      <c r="H58" s="199">
        <v>0</v>
      </c>
      <c r="I58" s="199">
        <v>0</v>
      </c>
      <c r="J58" s="199">
        <v>0</v>
      </c>
      <c r="K58" s="199">
        <v>0</v>
      </c>
      <c r="L58" s="199">
        <v>0</v>
      </c>
      <c r="M58" s="199">
        <v>0</v>
      </c>
      <c r="N58" s="199">
        <v>0</v>
      </c>
      <c r="O58" s="199">
        <v>0</v>
      </c>
      <c r="P58" s="199">
        <v>0</v>
      </c>
      <c r="Q58" s="199">
        <v>0</v>
      </c>
      <c r="R58" s="199">
        <v>0</v>
      </c>
      <c r="S58" s="199">
        <v>0</v>
      </c>
      <c r="T58" s="199"/>
      <c r="U58" s="199"/>
      <c r="V58" s="199"/>
      <c r="W58" s="199"/>
      <c r="X58" s="199"/>
      <c r="Y58" s="199"/>
      <c r="Z58" s="199"/>
      <c r="AA58" s="199"/>
      <c r="AB58" s="200">
        <f t="shared" si="3"/>
        <v>0</v>
      </c>
      <c r="AC58" s="178"/>
    </row>
    <row r="59" spans="2:29">
      <c r="B59" s="124"/>
      <c r="C59" s="197" t="s">
        <v>67</v>
      </c>
      <c r="D59" s="199">
        <v>0</v>
      </c>
      <c r="E59" s="199">
        <v>0</v>
      </c>
      <c r="F59" s="199">
        <v>0</v>
      </c>
      <c r="G59" s="199">
        <v>0</v>
      </c>
      <c r="H59" s="199">
        <v>0</v>
      </c>
      <c r="I59" s="199">
        <v>0</v>
      </c>
      <c r="J59" s="199">
        <v>0</v>
      </c>
      <c r="K59" s="199">
        <v>0</v>
      </c>
      <c r="L59" s="199">
        <v>0</v>
      </c>
      <c r="M59" s="199">
        <v>0</v>
      </c>
      <c r="N59" s="199">
        <v>0</v>
      </c>
      <c r="O59" s="199">
        <v>0</v>
      </c>
      <c r="P59" s="199">
        <v>0</v>
      </c>
      <c r="Q59" s="199">
        <v>0</v>
      </c>
      <c r="R59" s="199">
        <v>0</v>
      </c>
      <c r="S59" s="199">
        <v>0</v>
      </c>
      <c r="T59" s="199"/>
      <c r="U59" s="199"/>
      <c r="V59" s="199"/>
      <c r="W59" s="199"/>
      <c r="X59" s="199"/>
      <c r="Y59" s="199"/>
      <c r="Z59" s="199"/>
      <c r="AA59" s="199"/>
      <c r="AB59" s="200">
        <f t="shared" si="3"/>
        <v>0</v>
      </c>
      <c r="AC59" s="178"/>
    </row>
    <row r="60" spans="2:29">
      <c r="B60" s="124"/>
      <c r="C60" s="197" t="s">
        <v>68</v>
      </c>
      <c r="D60" s="199">
        <v>0</v>
      </c>
      <c r="E60" s="199">
        <v>0</v>
      </c>
      <c r="F60" s="199">
        <v>0</v>
      </c>
      <c r="G60" s="199">
        <v>0</v>
      </c>
      <c r="H60" s="199">
        <v>0</v>
      </c>
      <c r="I60" s="199">
        <v>0</v>
      </c>
      <c r="J60" s="199">
        <v>0</v>
      </c>
      <c r="K60" s="199">
        <v>0</v>
      </c>
      <c r="L60" s="199">
        <v>0</v>
      </c>
      <c r="M60" s="199">
        <v>0</v>
      </c>
      <c r="N60" s="199">
        <v>0</v>
      </c>
      <c r="O60" s="199">
        <v>0</v>
      </c>
      <c r="P60" s="199">
        <v>0</v>
      </c>
      <c r="Q60" s="199">
        <v>0</v>
      </c>
      <c r="R60" s="199">
        <v>0</v>
      </c>
      <c r="S60" s="199">
        <v>0</v>
      </c>
      <c r="T60" s="199"/>
      <c r="U60" s="199"/>
      <c r="V60" s="199"/>
      <c r="W60" s="199"/>
      <c r="X60" s="199"/>
      <c r="Y60" s="199"/>
      <c r="Z60" s="199"/>
      <c r="AA60" s="199"/>
      <c r="AB60" s="200">
        <f t="shared" ref="AB60" si="4">SUM(D60:AA60)</f>
        <v>0</v>
      </c>
      <c r="AC60" s="178"/>
    </row>
    <row r="61" spans="2:29">
      <c r="B61" s="124"/>
      <c r="C61" s="197" t="s">
        <v>1063</v>
      </c>
      <c r="D61" s="199">
        <v>0</v>
      </c>
      <c r="E61" s="199">
        <v>0</v>
      </c>
      <c r="F61" s="199">
        <v>0</v>
      </c>
      <c r="G61" s="199">
        <v>0</v>
      </c>
      <c r="H61" s="199">
        <v>0</v>
      </c>
      <c r="I61" s="199">
        <v>0</v>
      </c>
      <c r="J61" s="199">
        <v>0</v>
      </c>
      <c r="K61" s="199">
        <v>0</v>
      </c>
      <c r="L61" s="199">
        <v>0</v>
      </c>
      <c r="M61" s="199">
        <v>0</v>
      </c>
      <c r="N61" s="199">
        <v>0</v>
      </c>
      <c r="O61" s="199">
        <v>0</v>
      </c>
      <c r="P61" s="199">
        <v>0</v>
      </c>
      <c r="Q61" s="199">
        <v>0</v>
      </c>
      <c r="R61" s="199">
        <v>0</v>
      </c>
      <c r="S61" s="199">
        <v>0</v>
      </c>
      <c r="T61" s="199"/>
      <c r="U61" s="199"/>
      <c r="V61" s="199"/>
      <c r="W61" s="199"/>
      <c r="X61" s="199"/>
      <c r="Y61" s="199"/>
      <c r="Z61" s="199"/>
      <c r="AA61" s="199"/>
      <c r="AB61" s="200">
        <f t="shared" si="3"/>
        <v>0</v>
      </c>
      <c r="AC61" s="178"/>
    </row>
    <row r="62" spans="2:29">
      <c r="B62" s="124"/>
      <c r="C62" s="198" t="s">
        <v>65</v>
      </c>
      <c r="D62" s="200">
        <f>IF(D55="","",SUM(D55:D61))</f>
        <v>0</v>
      </c>
      <c r="E62" s="200">
        <f t="shared" ref="E62:AA62" si="5">IF(E55="","",SUM(E55:E61))</f>
        <v>0</v>
      </c>
      <c r="F62" s="200">
        <f t="shared" si="5"/>
        <v>0</v>
      </c>
      <c r="G62" s="200">
        <f t="shared" si="5"/>
        <v>0</v>
      </c>
      <c r="H62" s="200">
        <f t="shared" si="5"/>
        <v>0</v>
      </c>
      <c r="I62" s="200">
        <f t="shared" si="5"/>
        <v>0</v>
      </c>
      <c r="J62" s="200">
        <f t="shared" si="5"/>
        <v>0</v>
      </c>
      <c r="K62" s="200">
        <f t="shared" si="5"/>
        <v>0</v>
      </c>
      <c r="L62" s="200">
        <f t="shared" si="5"/>
        <v>0</v>
      </c>
      <c r="M62" s="200">
        <f t="shared" si="5"/>
        <v>0</v>
      </c>
      <c r="N62" s="200">
        <f t="shared" si="5"/>
        <v>0</v>
      </c>
      <c r="O62" s="200">
        <f t="shared" si="5"/>
        <v>0</v>
      </c>
      <c r="P62" s="200">
        <f t="shared" si="5"/>
        <v>0</v>
      </c>
      <c r="Q62" s="200">
        <f t="shared" si="5"/>
        <v>0</v>
      </c>
      <c r="R62" s="200">
        <f t="shared" si="5"/>
        <v>0</v>
      </c>
      <c r="S62" s="200">
        <f t="shared" si="5"/>
        <v>0</v>
      </c>
      <c r="T62" s="200" t="str">
        <f t="shared" si="5"/>
        <v/>
      </c>
      <c r="U62" s="200" t="str">
        <f t="shared" si="5"/>
        <v/>
      </c>
      <c r="V62" s="200" t="str">
        <f t="shared" si="5"/>
        <v/>
      </c>
      <c r="W62" s="200" t="str">
        <f t="shared" si="5"/>
        <v/>
      </c>
      <c r="X62" s="200" t="str">
        <f t="shared" si="5"/>
        <v/>
      </c>
      <c r="Y62" s="200" t="str">
        <f t="shared" si="5"/>
        <v/>
      </c>
      <c r="Z62" s="200" t="str">
        <f t="shared" si="5"/>
        <v/>
      </c>
      <c r="AA62" s="200" t="str">
        <f t="shared" si="5"/>
        <v/>
      </c>
      <c r="AB62" s="200">
        <f>SUM(D62:AA62)</f>
        <v>0</v>
      </c>
      <c r="AC62" s="178"/>
    </row>
    <row r="63" spans="2:29" ht="7.9" customHeight="1">
      <c r="B63" s="161"/>
      <c r="C63" s="159"/>
      <c r="D63" s="159"/>
      <c r="E63" s="159"/>
      <c r="F63" s="159"/>
      <c r="G63" s="159"/>
      <c r="H63" s="186"/>
      <c r="I63" s="159"/>
      <c r="J63" s="159"/>
      <c r="K63" s="159"/>
      <c r="L63" s="159"/>
      <c r="M63" s="159"/>
      <c r="N63" s="159"/>
      <c r="O63" s="159"/>
      <c r="P63" s="159"/>
      <c r="Q63" s="159"/>
      <c r="R63" s="159"/>
      <c r="S63" s="159"/>
      <c r="T63" s="159"/>
      <c r="U63" s="159"/>
      <c r="V63" s="159"/>
      <c r="W63" s="159"/>
      <c r="X63" s="159"/>
      <c r="Y63" s="159"/>
      <c r="Z63" s="159"/>
      <c r="AA63" s="159"/>
      <c r="AB63" s="159"/>
      <c r="AC63" s="187"/>
    </row>
    <row r="64" spans="2:29" s="1" customFormat="1" ht="15" customHeight="1">
      <c r="C64" s="266" t="s">
        <v>933</v>
      </c>
      <c r="D64" s="266"/>
      <c r="E64" s="266"/>
      <c r="F64" s="266"/>
      <c r="G64" s="266"/>
      <c r="H64" s="266"/>
      <c r="I64" s="266"/>
      <c r="J64" s="266"/>
      <c r="K64" s="266"/>
      <c r="L64" s="266"/>
      <c r="M64" s="266"/>
      <c r="N64" s="266"/>
      <c r="O64" s="266"/>
      <c r="P64" s="266"/>
      <c r="Q64" s="266"/>
      <c r="R64" s="266"/>
      <c r="S64" s="266"/>
      <c r="T64" s="266"/>
      <c r="U64" s="266"/>
      <c r="V64" s="266"/>
      <c r="W64" s="266"/>
      <c r="X64" s="266"/>
      <c r="Y64" s="266"/>
      <c r="Z64" s="266"/>
      <c r="AA64" s="266"/>
      <c r="AB64" s="266"/>
      <c r="AC64" s="266"/>
    </row>
  </sheetData>
  <sheetProtection password="AE27" sheet="1" objects="1" scenarios="1"/>
  <mergeCells count="10">
    <mergeCell ref="C64:AC64"/>
    <mergeCell ref="C53:AB53"/>
    <mergeCell ref="H2:K2"/>
    <mergeCell ref="V2:Y2"/>
    <mergeCell ref="H4:Y4"/>
    <mergeCell ref="H5:Y5"/>
    <mergeCell ref="C24:AB24"/>
    <mergeCell ref="H3:K3"/>
    <mergeCell ref="V3:Y3"/>
    <mergeCell ref="C7:AB7"/>
  </mergeCells>
  <phoneticPr fontId="3" type="noConversion"/>
  <pageMargins left="0.7" right="0.7" top="0.75" bottom="0.75" header="0.3" footer="0.3"/>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autoLine="0" autoPict="0" macro="[0]!Populate_Indications_Data">
                <anchor moveWithCells="1">
                  <from>
                    <xdr:col>3</xdr:col>
                    <xdr:colOff>295275</xdr:colOff>
                    <xdr:row>5</xdr:row>
                    <xdr:rowOff>142875</xdr:rowOff>
                  </from>
                  <to>
                    <xdr:col>6</xdr:col>
                    <xdr:colOff>247650</xdr:colOff>
                    <xdr:row>5</xdr:row>
                    <xdr:rowOff>323850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L120"/>
  <sheetViews>
    <sheetView showGridLines="0" zoomScale="90" zoomScaleNormal="90" zoomScaleSheetLayoutView="70" workbookViewId="0"/>
  </sheetViews>
  <sheetFormatPr defaultRowHeight="12.75"/>
  <cols>
    <col min="1" max="1" width="1.75" style="1" customWidth="1"/>
    <col min="2" max="2" width="1.625" style="217" customWidth="1"/>
    <col min="3" max="3" width="156.625" style="1" customWidth="1"/>
    <col min="4" max="4" width="1.625" style="1" customWidth="1"/>
    <col min="5" max="5" width="1.75" style="2" customWidth="1"/>
    <col min="6" max="7" width="9" style="3" customWidth="1"/>
    <col min="8" max="8" width="10" style="3" customWidth="1"/>
    <col min="9" max="16384" width="9" style="1"/>
  </cols>
  <sheetData>
    <row r="1" spans="2:12" ht="3.95" customHeight="1">
      <c r="E1" s="68"/>
      <c r="I1" s="2"/>
      <c r="J1" s="2"/>
      <c r="K1" s="2"/>
      <c r="L1" s="2"/>
    </row>
    <row r="2" spans="2:12" ht="15" customHeight="1">
      <c r="B2" s="218"/>
      <c r="C2" s="101"/>
      <c r="D2" s="102"/>
      <c r="E2" s="68"/>
      <c r="I2" s="2"/>
      <c r="J2" s="2"/>
      <c r="K2" s="2"/>
      <c r="L2" s="2"/>
    </row>
    <row r="3" spans="2:12" ht="15" customHeight="1">
      <c r="B3" s="103"/>
      <c r="C3" s="103"/>
      <c r="D3" s="104"/>
      <c r="E3" s="68"/>
      <c r="I3" s="2"/>
      <c r="J3" s="2"/>
      <c r="K3" s="2"/>
      <c r="L3" s="2"/>
    </row>
    <row r="4" spans="2:12" ht="15" customHeight="1">
      <c r="B4" s="219"/>
      <c r="C4" s="252" t="s">
        <v>76</v>
      </c>
      <c r="D4" s="105"/>
      <c r="E4" s="68"/>
      <c r="I4" s="2"/>
      <c r="J4" s="2"/>
      <c r="K4" s="2"/>
      <c r="L4" s="2"/>
    </row>
    <row r="5" spans="2:12" ht="15" customHeight="1">
      <c r="B5" s="219"/>
      <c r="C5" s="252"/>
      <c r="D5" s="105"/>
      <c r="E5" s="68"/>
      <c r="I5" s="2"/>
      <c r="J5" s="2"/>
      <c r="K5" s="2"/>
      <c r="L5" s="2"/>
    </row>
    <row r="6" spans="2:12" ht="15" customHeight="1">
      <c r="B6" s="220"/>
      <c r="C6" s="106"/>
      <c r="D6" s="107"/>
      <c r="E6" s="68"/>
      <c r="I6" s="2"/>
      <c r="J6" s="2"/>
      <c r="K6" s="2"/>
      <c r="L6" s="2"/>
    </row>
    <row r="7" spans="2:12" ht="6" customHeight="1">
      <c r="B7" s="221"/>
      <c r="C7" s="222"/>
      <c r="D7" s="223"/>
      <c r="I7" s="2"/>
      <c r="J7" s="2"/>
      <c r="K7" s="2"/>
      <c r="L7" s="2"/>
    </row>
    <row r="8" spans="2:12" ht="14.1" customHeight="1">
      <c r="B8" s="221"/>
      <c r="C8" s="224" t="s">
        <v>80</v>
      </c>
      <c r="D8" s="225"/>
      <c r="I8" s="2"/>
      <c r="J8" s="2"/>
      <c r="K8" s="2"/>
      <c r="L8" s="2"/>
    </row>
    <row r="9" spans="2:12" ht="14.1" customHeight="1">
      <c r="B9" s="221"/>
      <c r="C9" s="271" t="s">
        <v>937</v>
      </c>
      <c r="D9" s="272"/>
      <c r="I9" s="2"/>
      <c r="J9" s="2"/>
      <c r="K9" s="2"/>
      <c r="L9" s="2"/>
    </row>
    <row r="10" spans="2:12" ht="15" customHeight="1">
      <c r="B10" s="221"/>
      <c r="C10" s="271" t="s">
        <v>938</v>
      </c>
      <c r="D10" s="272"/>
      <c r="I10" s="2"/>
      <c r="J10" s="2"/>
      <c r="K10" s="2"/>
      <c r="L10" s="2"/>
    </row>
    <row r="11" spans="2:12" ht="14.1" customHeight="1">
      <c r="B11" s="221"/>
      <c r="C11" s="271" t="s">
        <v>956</v>
      </c>
      <c r="D11" s="272"/>
      <c r="I11" s="2"/>
      <c r="J11" s="2"/>
      <c r="K11" s="2"/>
      <c r="L11" s="2"/>
    </row>
    <row r="12" spans="2:12" ht="14.1" customHeight="1">
      <c r="B12" s="221"/>
      <c r="C12" s="271" t="s">
        <v>939</v>
      </c>
      <c r="D12" s="272"/>
      <c r="I12" s="2"/>
      <c r="J12" s="2"/>
      <c r="K12" s="2"/>
      <c r="L12" s="2"/>
    </row>
    <row r="13" spans="2:12" ht="14.1" customHeight="1">
      <c r="B13" s="221"/>
      <c r="C13" s="271" t="s">
        <v>940</v>
      </c>
      <c r="D13" s="272"/>
      <c r="I13" s="2"/>
      <c r="J13" s="2"/>
      <c r="K13" s="2"/>
      <c r="L13" s="2"/>
    </row>
    <row r="14" spans="2:12" ht="27.95" customHeight="1">
      <c r="B14" s="221"/>
      <c r="C14" s="228" t="s">
        <v>1099</v>
      </c>
      <c r="D14" s="227"/>
      <c r="I14" s="2"/>
      <c r="J14" s="2"/>
      <c r="K14" s="2"/>
      <c r="L14" s="2"/>
    </row>
    <row r="15" spans="2:12" ht="14.1" customHeight="1">
      <c r="B15" s="221"/>
      <c r="C15" s="228" t="s">
        <v>953</v>
      </c>
      <c r="D15" s="227"/>
      <c r="I15" s="2"/>
      <c r="J15" s="2"/>
      <c r="K15" s="2"/>
      <c r="L15" s="2"/>
    </row>
    <row r="16" spans="2:12" ht="14.1" customHeight="1">
      <c r="B16" s="221"/>
      <c r="C16" s="229"/>
      <c r="D16" s="225"/>
      <c r="I16" s="2"/>
      <c r="J16" s="2"/>
      <c r="K16" s="2"/>
      <c r="L16" s="2"/>
    </row>
    <row r="17" spans="2:12" ht="14.1" customHeight="1">
      <c r="B17" s="230"/>
      <c r="C17" s="224" t="s">
        <v>941</v>
      </c>
      <c r="D17" s="225"/>
      <c r="I17" s="2"/>
      <c r="J17" s="2"/>
      <c r="K17" s="2"/>
      <c r="L17" s="2"/>
    </row>
    <row r="18" spans="2:12" ht="14.1" customHeight="1">
      <c r="B18" s="221"/>
      <c r="C18" s="271" t="s">
        <v>942</v>
      </c>
      <c r="D18" s="272"/>
      <c r="I18" s="2"/>
      <c r="J18" s="2"/>
      <c r="K18" s="2"/>
      <c r="L18" s="2"/>
    </row>
    <row r="19" spans="2:12" ht="14.1" customHeight="1">
      <c r="B19" s="221"/>
      <c r="C19" s="271" t="s">
        <v>943</v>
      </c>
      <c r="D19" s="272"/>
      <c r="I19" s="2"/>
      <c r="J19" s="2"/>
      <c r="K19" s="2"/>
      <c r="L19" s="2"/>
    </row>
    <row r="20" spans="2:12" ht="14.1" customHeight="1">
      <c r="B20" s="221"/>
      <c r="C20" s="271" t="s">
        <v>944</v>
      </c>
      <c r="D20" s="272"/>
      <c r="I20" s="2"/>
      <c r="J20" s="2"/>
      <c r="K20" s="2"/>
      <c r="L20" s="2"/>
    </row>
    <row r="21" spans="2:12" ht="14.1" customHeight="1">
      <c r="B21" s="221"/>
      <c r="C21" s="226" t="s">
        <v>945</v>
      </c>
      <c r="D21" s="227"/>
      <c r="I21" s="2"/>
      <c r="J21" s="2"/>
      <c r="K21" s="2"/>
      <c r="L21" s="2"/>
    </row>
    <row r="22" spans="2:12" ht="14.1" customHeight="1">
      <c r="B22" s="221"/>
      <c r="C22" s="271" t="s">
        <v>946</v>
      </c>
      <c r="D22" s="272"/>
      <c r="I22" s="2"/>
      <c r="J22" s="2"/>
      <c r="K22" s="2"/>
      <c r="L22" s="2"/>
    </row>
    <row r="23" spans="2:12" ht="14.1" customHeight="1">
      <c r="B23" s="221"/>
      <c r="C23" s="241" t="s">
        <v>954</v>
      </c>
      <c r="D23" s="242"/>
      <c r="I23" s="2"/>
      <c r="J23" s="2"/>
      <c r="K23" s="2"/>
      <c r="L23" s="2"/>
    </row>
    <row r="24" spans="2:12" ht="14.1" customHeight="1">
      <c r="B24" s="221"/>
      <c r="C24" s="226"/>
      <c r="D24" s="227"/>
      <c r="I24" s="2"/>
      <c r="J24" s="2"/>
      <c r="K24" s="2"/>
      <c r="L24" s="2"/>
    </row>
    <row r="25" spans="2:12" ht="14.1" customHeight="1">
      <c r="B25" s="221"/>
      <c r="C25" s="224" t="s">
        <v>81</v>
      </c>
      <c r="D25" s="225"/>
      <c r="I25" s="2"/>
      <c r="J25" s="2"/>
      <c r="K25" s="2"/>
      <c r="L25" s="2"/>
    </row>
    <row r="26" spans="2:12" ht="105" customHeight="1">
      <c r="B26" s="221"/>
      <c r="C26" s="273" t="s">
        <v>1056</v>
      </c>
      <c r="D26" s="274"/>
      <c r="I26" s="2"/>
      <c r="J26" s="2"/>
      <c r="K26" s="2"/>
      <c r="L26" s="2"/>
    </row>
    <row r="27" spans="2:12" ht="15" customHeight="1">
      <c r="B27" s="221"/>
      <c r="C27" s="271" t="s">
        <v>947</v>
      </c>
      <c r="D27" s="272"/>
      <c r="I27" s="2"/>
      <c r="J27" s="2"/>
      <c r="K27" s="2"/>
      <c r="L27" s="2"/>
    </row>
    <row r="28" spans="2:12" ht="15" customHeight="1">
      <c r="B28" s="221"/>
      <c r="C28" s="246" t="s">
        <v>948</v>
      </c>
      <c r="D28" s="247"/>
      <c r="I28" s="2"/>
      <c r="J28" s="2"/>
      <c r="K28" s="2"/>
      <c r="L28" s="2"/>
    </row>
    <row r="29" spans="2:12" ht="14.1" customHeight="1">
      <c r="B29" s="221"/>
      <c r="C29" s="271" t="s">
        <v>949</v>
      </c>
      <c r="D29" s="272"/>
      <c r="I29" s="2"/>
      <c r="J29" s="2"/>
      <c r="K29" s="2"/>
      <c r="L29" s="2"/>
    </row>
    <row r="30" spans="2:12" ht="14.1" customHeight="1">
      <c r="B30" s="221"/>
      <c r="C30" s="271" t="s">
        <v>1057</v>
      </c>
      <c r="D30" s="272"/>
      <c r="I30" s="2"/>
      <c r="J30" s="2"/>
      <c r="K30" s="2"/>
      <c r="L30" s="2"/>
    </row>
    <row r="31" spans="2:12" ht="29.25" customHeight="1">
      <c r="B31" s="221"/>
      <c r="C31" s="273" t="s">
        <v>1058</v>
      </c>
      <c r="D31" s="274"/>
      <c r="I31" s="2"/>
      <c r="J31" s="2"/>
      <c r="K31" s="2"/>
      <c r="L31" s="2"/>
    </row>
    <row r="32" spans="2:12" ht="14.1" customHeight="1">
      <c r="B32" s="232"/>
      <c r="C32" s="233"/>
      <c r="D32" s="234"/>
      <c r="I32" s="2"/>
      <c r="J32" s="2"/>
      <c r="K32" s="2"/>
      <c r="L32" s="2"/>
    </row>
    <row r="33" spans="1:12" s="3" customFormat="1" ht="14.25">
      <c r="A33" s="1"/>
      <c r="B33" s="217"/>
      <c r="C33" s="235" t="s">
        <v>933</v>
      </c>
      <c r="D33" s="231"/>
      <c r="E33" s="2"/>
      <c r="I33" s="1"/>
      <c r="J33" s="1"/>
      <c r="K33" s="1"/>
      <c r="L33" s="1"/>
    </row>
    <row r="34" spans="1:12" s="3" customFormat="1" ht="14.25">
      <c r="A34" s="1"/>
      <c r="B34" s="217"/>
      <c r="C34" s="65"/>
      <c r="D34" s="236"/>
      <c r="E34" s="2"/>
      <c r="I34" s="1"/>
      <c r="J34" s="1"/>
      <c r="K34" s="1"/>
      <c r="L34" s="1"/>
    </row>
    <row r="35" spans="1:12" ht="14.25">
      <c r="C35" s="65"/>
      <c r="D35" s="65"/>
    </row>
    <row r="36" spans="1:12" ht="14.25">
      <c r="C36" s="65"/>
      <c r="D36" s="65"/>
    </row>
    <row r="37" spans="1:12" s="3" customFormat="1" ht="14.25">
      <c r="A37" s="1"/>
      <c r="B37" s="217"/>
      <c r="C37" s="65"/>
      <c r="D37" s="65"/>
      <c r="E37" s="2"/>
      <c r="I37" s="1"/>
      <c r="J37" s="1"/>
      <c r="K37" s="1"/>
      <c r="L37" s="1"/>
    </row>
    <row r="38" spans="1:12" ht="14.25">
      <c r="C38" s="65"/>
      <c r="D38" s="65"/>
    </row>
    <row r="39" spans="1:12" ht="14.25">
      <c r="C39" s="65"/>
      <c r="D39" s="65"/>
    </row>
    <row r="40" spans="1:12" ht="14.25">
      <c r="C40" s="65"/>
      <c r="D40" s="65"/>
    </row>
    <row r="41" spans="1:12" ht="14.25">
      <c r="C41" s="65"/>
      <c r="D41" s="65"/>
    </row>
    <row r="42" spans="1:12" ht="14.25">
      <c r="C42" s="65"/>
      <c r="D42" s="65"/>
    </row>
    <row r="43" spans="1:12" ht="14.25">
      <c r="C43" s="65"/>
      <c r="D43" s="65"/>
    </row>
    <row r="44" spans="1:12" ht="14.25">
      <c r="C44" s="65"/>
      <c r="D44" s="65"/>
    </row>
    <row r="45" spans="1:12" ht="14.25">
      <c r="C45" s="65"/>
      <c r="D45" s="65"/>
    </row>
    <row r="46" spans="1:12" ht="14.25">
      <c r="C46" s="65"/>
      <c r="D46" s="65"/>
    </row>
    <row r="49" spans="1:12" s="4" customFormat="1">
      <c r="A49" s="1"/>
      <c r="B49" s="217"/>
      <c r="C49" s="7"/>
      <c r="D49" s="1"/>
      <c r="E49" s="2"/>
      <c r="F49" s="3"/>
      <c r="G49" s="3"/>
      <c r="H49" s="3"/>
      <c r="I49" s="1"/>
      <c r="J49" s="1"/>
      <c r="K49" s="1"/>
      <c r="L49" s="1"/>
    </row>
    <row r="56" spans="1:12">
      <c r="H56" s="5"/>
      <c r="I56" s="109"/>
      <c r="J56" s="110"/>
    </row>
    <row r="57" spans="1:12">
      <c r="H57" s="5"/>
      <c r="I57" s="109"/>
      <c r="J57" s="110"/>
    </row>
    <row r="58" spans="1:12">
      <c r="C58" s="6"/>
      <c r="H58" s="5"/>
      <c r="I58" s="109"/>
      <c r="J58" s="110"/>
    </row>
    <row r="59" spans="1:12">
      <c r="C59" s="6"/>
      <c r="H59" s="5"/>
      <c r="I59" s="109"/>
      <c r="J59" s="110"/>
    </row>
    <row r="60" spans="1:12">
      <c r="C60" s="6"/>
      <c r="H60" s="5"/>
      <c r="I60" s="109"/>
      <c r="J60" s="110"/>
    </row>
    <row r="61" spans="1:12">
      <c r="C61" s="6"/>
      <c r="H61" s="5"/>
      <c r="I61" s="109"/>
      <c r="J61" s="110"/>
    </row>
    <row r="62" spans="1:12">
      <c r="C62" s="6"/>
      <c r="H62" s="5"/>
      <c r="I62" s="109"/>
      <c r="J62" s="110"/>
    </row>
    <row r="63" spans="1:12">
      <c r="C63" s="6"/>
      <c r="H63" s="5"/>
      <c r="I63" s="109"/>
      <c r="J63" s="110"/>
    </row>
    <row r="64" spans="1:12">
      <c r="C64" s="6"/>
      <c r="H64" s="5"/>
      <c r="I64" s="109"/>
      <c r="J64" s="110"/>
    </row>
    <row r="65" spans="3:10">
      <c r="C65" s="6"/>
      <c r="H65" s="5"/>
      <c r="I65" s="109"/>
      <c r="J65" s="110"/>
    </row>
    <row r="66" spans="3:10">
      <c r="C66" s="6"/>
      <c r="H66" s="5"/>
      <c r="I66" s="109"/>
      <c r="J66" s="110"/>
    </row>
    <row r="67" spans="3:10">
      <c r="C67" s="6"/>
      <c r="H67" s="5"/>
      <c r="I67" s="109"/>
      <c r="J67" s="110"/>
    </row>
    <row r="68" spans="3:10">
      <c r="C68" s="6"/>
      <c r="H68" s="5"/>
      <c r="I68" s="109"/>
      <c r="J68" s="110"/>
    </row>
    <row r="69" spans="3:10">
      <c r="C69" s="6"/>
      <c r="H69" s="5"/>
      <c r="I69" s="109"/>
      <c r="J69" s="110"/>
    </row>
    <row r="70" spans="3:10">
      <c r="C70" s="6"/>
      <c r="H70" s="5"/>
      <c r="I70" s="109"/>
      <c r="J70" s="110"/>
    </row>
    <row r="71" spans="3:10">
      <c r="C71" s="6"/>
      <c r="H71" s="5"/>
      <c r="I71" s="109"/>
      <c r="J71" s="110"/>
    </row>
    <row r="72" spans="3:10">
      <c r="C72" s="6"/>
      <c r="H72" s="5"/>
      <c r="I72" s="109"/>
      <c r="J72" s="110"/>
    </row>
    <row r="73" spans="3:10">
      <c r="C73" s="6"/>
      <c r="H73" s="5"/>
      <c r="I73" s="109"/>
      <c r="J73" s="110"/>
    </row>
    <row r="74" spans="3:10">
      <c r="C74" s="6"/>
      <c r="H74" s="5"/>
      <c r="I74" s="109"/>
      <c r="J74" s="110"/>
    </row>
    <row r="75" spans="3:10">
      <c r="C75" s="6"/>
      <c r="H75" s="5"/>
      <c r="I75" s="109"/>
      <c r="J75" s="110"/>
    </row>
    <row r="76" spans="3:10">
      <c r="C76" s="6"/>
      <c r="H76" s="5"/>
      <c r="I76" s="109"/>
      <c r="J76" s="110"/>
    </row>
    <row r="77" spans="3:10">
      <c r="C77" s="6"/>
      <c r="H77" s="5"/>
      <c r="I77" s="109"/>
      <c r="J77" s="110"/>
    </row>
    <row r="78" spans="3:10">
      <c r="C78" s="6"/>
      <c r="H78" s="5"/>
      <c r="I78" s="109"/>
      <c r="J78" s="110"/>
    </row>
    <row r="79" spans="3:10">
      <c r="C79" s="6"/>
      <c r="H79" s="5"/>
      <c r="I79" s="109"/>
      <c r="J79" s="110"/>
    </row>
    <row r="80" spans="3:10">
      <c r="C80" s="6"/>
      <c r="H80" s="5"/>
      <c r="I80" s="109"/>
      <c r="J80" s="110"/>
    </row>
    <row r="81" spans="1:10">
      <c r="H81" s="5"/>
      <c r="I81" s="109"/>
      <c r="J81" s="110"/>
    </row>
    <row r="82" spans="1:10">
      <c r="H82" s="5"/>
      <c r="I82" s="109"/>
      <c r="J82" s="110"/>
    </row>
    <row r="83" spans="1:10">
      <c r="A83" s="217"/>
      <c r="C83" s="237"/>
      <c r="D83" s="217"/>
      <c r="H83" s="5"/>
      <c r="I83" s="109"/>
      <c r="J83" s="110"/>
    </row>
    <row r="84" spans="1:10">
      <c r="A84" s="217"/>
      <c r="C84" s="237"/>
      <c r="D84" s="217"/>
    </row>
    <row r="85" spans="1:10">
      <c r="A85" s="217"/>
      <c r="C85" s="238"/>
      <c r="D85" s="217"/>
    </row>
    <row r="86" spans="1:10">
      <c r="A86" s="217"/>
      <c r="C86" s="238"/>
      <c r="D86" s="217"/>
    </row>
    <row r="87" spans="1:10">
      <c r="A87" s="217"/>
      <c r="C87" s="238"/>
      <c r="D87" s="217"/>
    </row>
    <row r="88" spans="1:10">
      <c r="A88" s="217"/>
      <c r="C88" s="238"/>
      <c r="D88" s="217"/>
    </row>
    <row r="89" spans="1:10">
      <c r="A89" s="217"/>
      <c r="C89" s="238"/>
      <c r="D89" s="217"/>
    </row>
    <row r="90" spans="1:10">
      <c r="A90" s="217"/>
      <c r="C90" s="238"/>
      <c r="D90" s="217"/>
    </row>
    <row r="91" spans="1:10">
      <c r="A91" s="217"/>
      <c r="C91" s="238"/>
      <c r="D91" s="217"/>
    </row>
    <row r="92" spans="1:10">
      <c r="A92" s="217"/>
      <c r="C92" s="238"/>
      <c r="D92" s="217"/>
    </row>
    <row r="93" spans="1:10">
      <c r="A93" s="217"/>
      <c r="C93" s="238"/>
      <c r="D93" s="217"/>
    </row>
    <row r="94" spans="1:10">
      <c r="A94" s="217"/>
      <c r="C94" s="238"/>
      <c r="D94" s="217"/>
    </row>
    <row r="95" spans="1:10">
      <c r="A95" s="217"/>
      <c r="C95" s="238"/>
      <c r="D95" s="217"/>
    </row>
    <row r="96" spans="1:10">
      <c r="A96" s="217"/>
      <c r="C96" s="217"/>
      <c r="D96" s="217"/>
    </row>
    <row r="97" spans="1:4">
      <c r="A97" s="217"/>
      <c r="C97" s="237"/>
      <c r="D97" s="217"/>
    </row>
    <row r="98" spans="1:4">
      <c r="A98" s="217"/>
      <c r="C98" s="237"/>
      <c r="D98" s="217"/>
    </row>
    <row r="99" spans="1:4">
      <c r="A99" s="217"/>
      <c r="C99" s="239"/>
      <c r="D99" s="217"/>
    </row>
    <row r="100" spans="1:4">
      <c r="A100" s="217"/>
      <c r="C100" s="239"/>
      <c r="D100" s="217"/>
    </row>
    <row r="101" spans="1:4">
      <c r="A101" s="217"/>
      <c r="C101" s="239"/>
      <c r="D101" s="217"/>
    </row>
    <row r="102" spans="1:4">
      <c r="A102" s="217"/>
      <c r="C102" s="239"/>
      <c r="D102" s="217"/>
    </row>
    <row r="103" spans="1:4">
      <c r="A103" s="217"/>
      <c r="C103" s="239"/>
      <c r="D103" s="217"/>
    </row>
    <row r="104" spans="1:4">
      <c r="A104" s="217"/>
      <c r="C104" s="239"/>
      <c r="D104" s="217"/>
    </row>
    <row r="105" spans="1:4">
      <c r="A105" s="217"/>
      <c r="C105" s="239"/>
      <c r="D105" s="217"/>
    </row>
    <row r="106" spans="1:4">
      <c r="A106" s="217"/>
      <c r="C106" s="239"/>
      <c r="D106" s="217"/>
    </row>
    <row r="107" spans="1:4">
      <c r="A107" s="217"/>
      <c r="C107" s="239"/>
      <c r="D107" s="217"/>
    </row>
    <row r="108" spans="1:4">
      <c r="A108" s="217"/>
      <c r="C108" s="239"/>
      <c r="D108" s="217"/>
    </row>
    <row r="109" spans="1:4">
      <c r="A109" s="217"/>
      <c r="C109" s="239"/>
      <c r="D109" s="217"/>
    </row>
    <row r="110" spans="1:4">
      <c r="A110" s="217"/>
      <c r="C110" s="239"/>
      <c r="D110" s="217"/>
    </row>
    <row r="111" spans="1:4">
      <c r="A111" s="217"/>
      <c r="C111" s="217"/>
      <c r="D111" s="217"/>
    </row>
    <row r="112" spans="1:4">
      <c r="A112" s="217"/>
      <c r="C112" s="217"/>
      <c r="D112" s="217"/>
    </row>
    <row r="113" spans="1:4">
      <c r="A113" s="217"/>
      <c r="C113" s="217"/>
      <c r="D113" s="217"/>
    </row>
    <row r="114" spans="1:4">
      <c r="A114" s="217"/>
      <c r="C114" s="217"/>
      <c r="D114" s="217"/>
    </row>
    <row r="115" spans="1:4">
      <c r="A115" s="217"/>
      <c r="C115" s="217"/>
      <c r="D115" s="217"/>
    </row>
    <row r="116" spans="1:4">
      <c r="A116" s="217"/>
      <c r="C116" s="217"/>
      <c r="D116" s="217"/>
    </row>
    <row r="117" spans="1:4">
      <c r="A117" s="217"/>
      <c r="C117" s="217"/>
      <c r="D117" s="217"/>
    </row>
    <row r="118" spans="1:4">
      <c r="A118" s="217"/>
      <c r="C118" s="217"/>
      <c r="D118" s="217"/>
    </row>
    <row r="119" spans="1:4">
      <c r="A119" s="217"/>
      <c r="C119" s="217"/>
      <c r="D119" s="217"/>
    </row>
    <row r="120" spans="1:4">
      <c r="A120" s="217"/>
      <c r="C120" s="217"/>
      <c r="D120" s="217"/>
    </row>
  </sheetData>
  <mergeCells count="15">
    <mergeCell ref="C13:D13"/>
    <mergeCell ref="C26:D26"/>
    <mergeCell ref="C27:D27"/>
    <mergeCell ref="C30:D30"/>
    <mergeCell ref="C31:D31"/>
    <mergeCell ref="C18:D18"/>
    <mergeCell ref="C19:D19"/>
    <mergeCell ref="C22:D22"/>
    <mergeCell ref="C29:D29"/>
    <mergeCell ref="C20:D20"/>
    <mergeCell ref="C4:C5"/>
    <mergeCell ref="C9:D9"/>
    <mergeCell ref="C10:D10"/>
    <mergeCell ref="C11:D11"/>
    <mergeCell ref="C12:D12"/>
  </mergeCells>
  <phoneticPr fontId="3" type="noConversion"/>
  <printOptions horizontalCentered="1"/>
  <pageMargins left="0.2" right="0.2" top="0.25" bottom="0.25" header="0.05" footer="0.05"/>
  <pageSetup scale="47"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46"/>
  <sheetViews>
    <sheetView topLeftCell="I1" workbookViewId="0">
      <selection activeCell="T3" sqref="T3:T300"/>
    </sheetView>
  </sheetViews>
  <sheetFormatPr defaultRowHeight="14.25"/>
  <cols>
    <col min="3" max="3" width="10.375" bestFit="1" customWidth="1"/>
    <col min="4" max="4" width="14.125" bestFit="1" customWidth="1"/>
  </cols>
  <sheetData>
    <row r="1" spans="1:28">
      <c r="A1" t="s">
        <v>85</v>
      </c>
      <c r="B1" t="s">
        <v>86</v>
      </c>
      <c r="C1" t="s">
        <v>87</v>
      </c>
      <c r="D1" t="s">
        <v>88</v>
      </c>
      <c r="E1" t="s">
        <v>89</v>
      </c>
      <c r="F1" t="s">
        <v>96</v>
      </c>
      <c r="G1" t="s">
        <v>97</v>
      </c>
      <c r="H1" t="s">
        <v>98</v>
      </c>
      <c r="I1" t="s">
        <v>99</v>
      </c>
      <c r="J1" t="s">
        <v>100</v>
      </c>
      <c r="K1" t="s">
        <v>101</v>
      </c>
      <c r="L1" t="s">
        <v>102</v>
      </c>
      <c r="M1" t="s">
        <v>103</v>
      </c>
      <c r="N1" t="s">
        <v>104</v>
      </c>
      <c r="O1" t="s">
        <v>455</v>
      </c>
      <c r="P1" t="s">
        <v>888</v>
      </c>
      <c r="Q1" t="s">
        <v>889</v>
      </c>
      <c r="R1" t="s">
        <v>890</v>
      </c>
      <c r="S1" t="s">
        <v>891</v>
      </c>
      <c r="T1" t="s">
        <v>892</v>
      </c>
      <c r="U1" t="s">
        <v>893</v>
      </c>
      <c r="V1" t="s">
        <v>894</v>
      </c>
      <c r="W1" t="s">
        <v>895</v>
      </c>
      <c r="X1" t="s">
        <v>896</v>
      </c>
      <c r="Y1" t="s">
        <v>897</v>
      </c>
      <c r="Z1" t="s">
        <v>898</v>
      </c>
      <c r="AA1" t="s">
        <v>899</v>
      </c>
      <c r="AB1" t="s">
        <v>900</v>
      </c>
    </row>
    <row r="2" spans="1:28">
      <c r="A2" s="243">
        <v>1</v>
      </c>
      <c r="B2" s="243">
        <v>4</v>
      </c>
      <c r="C2" s="243" t="s">
        <v>82</v>
      </c>
      <c r="D2" s="243" t="s">
        <v>902</v>
      </c>
      <c r="E2" s="249">
        <v>43117</v>
      </c>
      <c r="F2" s="249">
        <v>43148</v>
      </c>
      <c r="G2" s="249">
        <v>43176</v>
      </c>
      <c r="H2" s="249">
        <v>43207</v>
      </c>
      <c r="I2" s="249">
        <v>43237</v>
      </c>
      <c r="J2" s="249">
        <v>43268</v>
      </c>
      <c r="K2" s="249">
        <v>43298</v>
      </c>
      <c r="L2" s="249">
        <v>43329</v>
      </c>
      <c r="M2" s="249">
        <v>43360</v>
      </c>
      <c r="N2" s="249">
        <v>43390</v>
      </c>
      <c r="O2" s="249">
        <v>43421</v>
      </c>
      <c r="P2" s="249">
        <v>43451</v>
      </c>
      <c r="Q2" s="249">
        <v>43118</v>
      </c>
      <c r="R2" s="249">
        <v>43149</v>
      </c>
      <c r="S2" s="249">
        <v>43177</v>
      </c>
      <c r="T2" s="249">
        <v>43208</v>
      </c>
      <c r="U2" s="249">
        <v>43238</v>
      </c>
      <c r="V2" s="249">
        <v>43269</v>
      </c>
      <c r="W2" s="249">
        <v>43299</v>
      </c>
      <c r="X2" s="249">
        <v>43330</v>
      </c>
      <c r="Y2" s="249">
        <v>43361</v>
      </c>
      <c r="Z2" s="249">
        <v>43391</v>
      </c>
      <c r="AA2" s="249">
        <v>43422</v>
      </c>
      <c r="AB2" s="249">
        <v>43452</v>
      </c>
    </row>
    <row r="3" spans="1:28">
      <c r="A3" s="243">
        <v>2</v>
      </c>
      <c r="B3" s="243" t="s">
        <v>36</v>
      </c>
      <c r="C3" s="243" t="s">
        <v>36</v>
      </c>
      <c r="D3" s="250" t="s">
        <v>66</v>
      </c>
      <c r="E3" s="243">
        <v>0</v>
      </c>
      <c r="F3" s="251">
        <v>0</v>
      </c>
      <c r="G3" s="251">
        <v>0</v>
      </c>
      <c r="H3" s="251">
        <v>0</v>
      </c>
      <c r="I3" s="251">
        <v>0</v>
      </c>
      <c r="J3" s="251">
        <v>0</v>
      </c>
      <c r="K3" s="251">
        <v>0</v>
      </c>
      <c r="L3" s="251">
        <v>0</v>
      </c>
      <c r="M3" s="251">
        <v>0</v>
      </c>
      <c r="N3" s="251">
        <v>0</v>
      </c>
      <c r="O3" s="251">
        <v>0</v>
      </c>
      <c r="P3" s="251">
        <v>0</v>
      </c>
      <c r="Q3" s="251">
        <v>0</v>
      </c>
      <c r="R3" s="251">
        <v>0</v>
      </c>
      <c r="S3" s="251">
        <v>0</v>
      </c>
      <c r="T3" s="251">
        <v>0</v>
      </c>
      <c r="U3" s="243"/>
      <c r="V3" s="243"/>
      <c r="W3" s="243"/>
      <c r="X3" s="243"/>
    </row>
    <row r="4" spans="1:28">
      <c r="A4" s="243">
        <v>3</v>
      </c>
      <c r="B4" s="243" t="s">
        <v>36</v>
      </c>
      <c r="C4" s="243" t="s">
        <v>36</v>
      </c>
      <c r="D4" s="250" t="s">
        <v>1095</v>
      </c>
      <c r="E4" s="251">
        <v>0</v>
      </c>
      <c r="F4" s="251">
        <v>0</v>
      </c>
      <c r="G4" s="251">
        <v>0</v>
      </c>
      <c r="H4" s="251">
        <v>0</v>
      </c>
      <c r="I4" s="251">
        <v>0</v>
      </c>
      <c r="J4" s="251">
        <v>0</v>
      </c>
      <c r="K4" s="251">
        <v>0</v>
      </c>
      <c r="L4" s="251">
        <v>0</v>
      </c>
      <c r="M4" s="251">
        <v>0</v>
      </c>
      <c r="N4" s="251">
        <v>0</v>
      </c>
      <c r="O4" s="251">
        <v>0</v>
      </c>
      <c r="P4" s="251">
        <v>0</v>
      </c>
      <c r="Q4" s="251">
        <v>0</v>
      </c>
      <c r="R4" s="251">
        <v>0</v>
      </c>
      <c r="S4" s="251">
        <v>0</v>
      </c>
      <c r="T4" s="251">
        <v>0</v>
      </c>
      <c r="U4" s="243"/>
      <c r="V4" s="243"/>
      <c r="W4" s="243"/>
      <c r="X4" s="243"/>
    </row>
    <row r="5" spans="1:28">
      <c r="A5" s="243">
        <v>4</v>
      </c>
      <c r="B5" s="243" t="s">
        <v>36</v>
      </c>
      <c r="C5" s="243" t="s">
        <v>36</v>
      </c>
      <c r="D5" s="250" t="s">
        <v>1096</v>
      </c>
      <c r="E5" s="251">
        <v>0</v>
      </c>
      <c r="F5" s="251">
        <v>0</v>
      </c>
      <c r="G5" s="251">
        <v>0</v>
      </c>
      <c r="H5" s="251">
        <v>0</v>
      </c>
      <c r="I5" s="251">
        <v>0</v>
      </c>
      <c r="J5" s="251">
        <v>0</v>
      </c>
      <c r="K5" s="251">
        <v>0</v>
      </c>
      <c r="L5" s="251">
        <v>0</v>
      </c>
      <c r="M5" s="251">
        <v>0</v>
      </c>
      <c r="N5" s="251">
        <v>0</v>
      </c>
      <c r="O5" s="251">
        <v>0</v>
      </c>
      <c r="P5" s="251">
        <v>0</v>
      </c>
      <c r="Q5" s="251">
        <v>0</v>
      </c>
      <c r="R5" s="251">
        <v>0</v>
      </c>
      <c r="S5" s="251">
        <v>0</v>
      </c>
      <c r="T5" s="251">
        <v>0</v>
      </c>
      <c r="U5" s="243"/>
      <c r="V5" s="243"/>
      <c r="W5" s="243"/>
      <c r="X5" s="243"/>
    </row>
    <row r="6" spans="1:28">
      <c r="A6" s="243">
        <v>5</v>
      </c>
      <c r="B6" s="243" t="s">
        <v>36</v>
      </c>
      <c r="C6" s="243" t="s">
        <v>36</v>
      </c>
      <c r="D6" s="250" t="s">
        <v>1097</v>
      </c>
      <c r="E6" s="251">
        <v>0</v>
      </c>
      <c r="F6" s="251">
        <v>0</v>
      </c>
      <c r="G6" s="251">
        <v>0</v>
      </c>
      <c r="H6" s="251">
        <v>0</v>
      </c>
      <c r="I6" s="251">
        <v>0</v>
      </c>
      <c r="J6" s="251">
        <v>0</v>
      </c>
      <c r="K6" s="251">
        <v>0</v>
      </c>
      <c r="L6" s="251">
        <v>0</v>
      </c>
      <c r="M6" s="251">
        <v>0</v>
      </c>
      <c r="N6" s="251">
        <v>0</v>
      </c>
      <c r="O6" s="251">
        <v>0</v>
      </c>
      <c r="P6" s="251">
        <v>0</v>
      </c>
      <c r="Q6" s="251">
        <v>0</v>
      </c>
      <c r="R6" s="251">
        <v>0</v>
      </c>
      <c r="S6" s="251">
        <v>0</v>
      </c>
      <c r="T6" s="251">
        <v>0</v>
      </c>
      <c r="U6" s="243"/>
      <c r="V6" s="243"/>
      <c r="W6" s="243"/>
      <c r="X6" s="243"/>
    </row>
    <row r="7" spans="1:28">
      <c r="A7" s="243">
        <v>6</v>
      </c>
      <c r="B7" s="243" t="s">
        <v>36</v>
      </c>
      <c r="C7" s="243" t="s">
        <v>36</v>
      </c>
      <c r="D7" s="250" t="s">
        <v>67</v>
      </c>
      <c r="E7" s="251">
        <v>0</v>
      </c>
      <c r="F7" s="251">
        <v>0</v>
      </c>
      <c r="G7" s="251">
        <v>0</v>
      </c>
      <c r="H7" s="251">
        <v>0</v>
      </c>
      <c r="I7" s="251">
        <v>0</v>
      </c>
      <c r="J7" s="251">
        <v>0</v>
      </c>
      <c r="K7" s="251">
        <v>0</v>
      </c>
      <c r="L7" s="251">
        <v>0</v>
      </c>
      <c r="M7" s="251">
        <v>0</v>
      </c>
      <c r="N7" s="251">
        <v>0</v>
      </c>
      <c r="O7" s="251">
        <v>0</v>
      </c>
      <c r="P7" s="251">
        <v>0</v>
      </c>
      <c r="Q7" s="251">
        <v>0</v>
      </c>
      <c r="R7" s="251">
        <v>0</v>
      </c>
      <c r="S7" s="251">
        <v>0</v>
      </c>
      <c r="T7" s="251">
        <v>0</v>
      </c>
      <c r="U7" s="243"/>
      <c r="V7" s="243"/>
      <c r="W7" s="243"/>
      <c r="X7" s="243"/>
    </row>
    <row r="8" spans="1:28">
      <c r="A8" s="243">
        <v>7</v>
      </c>
      <c r="B8" s="243" t="s">
        <v>36</v>
      </c>
      <c r="C8" s="243" t="s">
        <v>36</v>
      </c>
      <c r="D8" s="250" t="s">
        <v>68</v>
      </c>
      <c r="E8" s="251">
        <v>0</v>
      </c>
      <c r="F8" s="251">
        <v>0</v>
      </c>
      <c r="G8" s="251">
        <v>0</v>
      </c>
      <c r="H8" s="251">
        <v>0</v>
      </c>
      <c r="I8" s="251">
        <v>0</v>
      </c>
      <c r="J8" s="251">
        <v>0</v>
      </c>
      <c r="K8" s="251">
        <v>0</v>
      </c>
      <c r="L8" s="251">
        <v>0</v>
      </c>
      <c r="M8" s="251">
        <v>0</v>
      </c>
      <c r="N8" s="251">
        <v>0</v>
      </c>
      <c r="O8" s="251">
        <v>0</v>
      </c>
      <c r="P8" s="251">
        <v>0</v>
      </c>
      <c r="Q8" s="251">
        <v>0</v>
      </c>
      <c r="R8" s="251">
        <v>0</v>
      </c>
      <c r="S8" s="251">
        <v>0</v>
      </c>
      <c r="T8" s="251">
        <v>0</v>
      </c>
      <c r="U8" s="243"/>
      <c r="V8" s="243"/>
      <c r="W8" s="243"/>
      <c r="X8" s="243"/>
    </row>
    <row r="9" spans="1:28">
      <c r="A9" s="243">
        <v>8</v>
      </c>
      <c r="B9" s="243" t="s">
        <v>36</v>
      </c>
      <c r="C9" s="243" t="s">
        <v>36</v>
      </c>
      <c r="D9" s="250" t="s">
        <v>1098</v>
      </c>
      <c r="E9" s="251">
        <v>0</v>
      </c>
      <c r="F9" s="251">
        <v>0</v>
      </c>
      <c r="G9" s="251">
        <v>0</v>
      </c>
      <c r="H9" s="251">
        <v>0</v>
      </c>
      <c r="I9" s="251">
        <v>0</v>
      </c>
      <c r="J9" s="251">
        <v>0</v>
      </c>
      <c r="K9" s="251">
        <v>0</v>
      </c>
      <c r="L9" s="251">
        <v>0</v>
      </c>
      <c r="M9" s="251">
        <v>0</v>
      </c>
      <c r="N9" s="251">
        <v>0</v>
      </c>
      <c r="O9" s="251">
        <v>0</v>
      </c>
      <c r="P9" s="251">
        <v>0</v>
      </c>
      <c r="Q9" s="251">
        <v>0</v>
      </c>
      <c r="R9" s="251">
        <v>0</v>
      </c>
      <c r="S9" s="251">
        <v>0</v>
      </c>
      <c r="T9" s="251">
        <v>0</v>
      </c>
      <c r="U9" s="243"/>
      <c r="V9" s="243"/>
      <c r="W9" s="243"/>
      <c r="X9" s="243"/>
    </row>
    <row r="10" spans="1:28">
      <c r="A10" s="243">
        <v>9</v>
      </c>
      <c r="B10" s="243" t="s">
        <v>36</v>
      </c>
      <c r="C10" s="243" t="s">
        <v>36</v>
      </c>
      <c r="D10" s="250" t="s">
        <v>233</v>
      </c>
      <c r="E10" s="251">
        <v>0</v>
      </c>
      <c r="F10" s="251">
        <v>0</v>
      </c>
      <c r="G10" s="251">
        <v>0</v>
      </c>
      <c r="H10" s="251">
        <v>0</v>
      </c>
      <c r="I10" s="251">
        <v>0</v>
      </c>
      <c r="J10" s="251">
        <v>0</v>
      </c>
      <c r="K10" s="251">
        <v>0</v>
      </c>
      <c r="L10" s="251">
        <v>0</v>
      </c>
      <c r="M10" s="251">
        <v>0</v>
      </c>
      <c r="N10" s="251">
        <v>0</v>
      </c>
      <c r="O10" s="251">
        <v>0</v>
      </c>
      <c r="P10" s="251">
        <v>0</v>
      </c>
      <c r="Q10" s="251">
        <v>0</v>
      </c>
      <c r="R10" s="251">
        <v>0</v>
      </c>
      <c r="S10" s="251">
        <v>0</v>
      </c>
      <c r="T10" s="251">
        <v>0</v>
      </c>
      <c r="U10" s="243"/>
      <c r="V10" s="243"/>
      <c r="W10" s="243"/>
      <c r="X10" s="243"/>
    </row>
    <row r="11" spans="1:28">
      <c r="A11" s="243">
        <v>10</v>
      </c>
      <c r="B11" s="243" t="s">
        <v>34</v>
      </c>
      <c r="C11" s="243" t="s">
        <v>886</v>
      </c>
      <c r="D11" s="250" t="s">
        <v>66</v>
      </c>
      <c r="E11" s="251">
        <v>0</v>
      </c>
      <c r="F11" s="251">
        <v>0</v>
      </c>
      <c r="G11" s="251">
        <v>0</v>
      </c>
      <c r="H11" s="251">
        <v>0</v>
      </c>
      <c r="I11" s="251">
        <v>0</v>
      </c>
      <c r="J11" s="251">
        <v>0</v>
      </c>
      <c r="K11" s="251">
        <v>0</v>
      </c>
      <c r="L11" s="251">
        <v>0</v>
      </c>
      <c r="M11" s="251">
        <v>0</v>
      </c>
      <c r="N11" s="251">
        <v>0</v>
      </c>
      <c r="O11" s="251">
        <v>0</v>
      </c>
      <c r="P11" s="251">
        <v>0</v>
      </c>
      <c r="Q11" s="251">
        <v>0</v>
      </c>
      <c r="R11" s="251">
        <v>0</v>
      </c>
      <c r="S11" s="251">
        <v>0</v>
      </c>
      <c r="T11" s="251">
        <v>0</v>
      </c>
      <c r="U11" s="243"/>
      <c r="V11" s="243"/>
      <c r="W11" s="243"/>
      <c r="X11" s="243"/>
    </row>
    <row r="12" spans="1:28">
      <c r="A12" s="243">
        <v>11</v>
      </c>
      <c r="B12" s="243" t="s">
        <v>34</v>
      </c>
      <c r="C12" s="243" t="s">
        <v>886</v>
      </c>
      <c r="D12" s="250" t="s">
        <v>1095</v>
      </c>
      <c r="E12" s="251">
        <v>0</v>
      </c>
      <c r="F12" s="251">
        <v>0</v>
      </c>
      <c r="G12" s="251">
        <v>0</v>
      </c>
      <c r="H12" s="251">
        <v>0</v>
      </c>
      <c r="I12" s="251">
        <v>0</v>
      </c>
      <c r="J12" s="251">
        <v>0</v>
      </c>
      <c r="K12" s="251">
        <v>0</v>
      </c>
      <c r="L12" s="251">
        <v>0</v>
      </c>
      <c r="M12" s="251">
        <v>0</v>
      </c>
      <c r="N12" s="251">
        <v>0</v>
      </c>
      <c r="O12" s="251">
        <v>0</v>
      </c>
      <c r="P12" s="251">
        <v>0</v>
      </c>
      <c r="Q12" s="251">
        <v>0</v>
      </c>
      <c r="R12" s="251">
        <v>0</v>
      </c>
      <c r="S12" s="251">
        <v>0</v>
      </c>
      <c r="T12" s="251">
        <v>0</v>
      </c>
      <c r="U12" s="243"/>
      <c r="V12" s="243"/>
      <c r="W12" s="243"/>
      <c r="X12" s="243"/>
    </row>
    <row r="13" spans="1:28">
      <c r="A13" s="243">
        <v>12</v>
      </c>
      <c r="B13" s="243" t="s">
        <v>34</v>
      </c>
      <c r="C13" s="243" t="s">
        <v>886</v>
      </c>
      <c r="D13" s="250" t="s">
        <v>1096</v>
      </c>
      <c r="E13" s="251">
        <v>0</v>
      </c>
      <c r="F13" s="251">
        <v>0</v>
      </c>
      <c r="G13" s="251">
        <v>0</v>
      </c>
      <c r="H13" s="251">
        <v>0</v>
      </c>
      <c r="I13" s="251">
        <v>0</v>
      </c>
      <c r="J13" s="251">
        <v>0</v>
      </c>
      <c r="K13" s="251">
        <v>0</v>
      </c>
      <c r="L13" s="251">
        <v>0</v>
      </c>
      <c r="M13" s="251">
        <v>0</v>
      </c>
      <c r="N13" s="251">
        <v>0</v>
      </c>
      <c r="O13" s="251">
        <v>0</v>
      </c>
      <c r="P13" s="251">
        <v>0</v>
      </c>
      <c r="Q13" s="251">
        <v>0</v>
      </c>
      <c r="R13" s="251">
        <v>0</v>
      </c>
      <c r="S13" s="251">
        <v>0</v>
      </c>
      <c r="T13" s="251">
        <v>0</v>
      </c>
      <c r="U13" s="243"/>
      <c r="V13" s="243"/>
      <c r="W13" s="243"/>
      <c r="X13" s="243"/>
    </row>
    <row r="14" spans="1:28">
      <c r="A14" s="243">
        <v>13</v>
      </c>
      <c r="B14" s="243" t="s">
        <v>34</v>
      </c>
      <c r="C14" s="243" t="s">
        <v>886</v>
      </c>
      <c r="D14" s="250" t="s">
        <v>1097</v>
      </c>
      <c r="E14" s="251">
        <v>0</v>
      </c>
      <c r="F14" s="251">
        <v>0</v>
      </c>
      <c r="G14" s="251">
        <v>0</v>
      </c>
      <c r="H14" s="251">
        <v>0</v>
      </c>
      <c r="I14" s="251">
        <v>0</v>
      </c>
      <c r="J14" s="251">
        <v>0</v>
      </c>
      <c r="K14" s="251">
        <v>0</v>
      </c>
      <c r="L14" s="251">
        <v>0</v>
      </c>
      <c r="M14" s="251">
        <v>0</v>
      </c>
      <c r="N14" s="251">
        <v>0</v>
      </c>
      <c r="O14" s="251">
        <v>0</v>
      </c>
      <c r="P14" s="251">
        <v>0</v>
      </c>
      <c r="Q14" s="251">
        <v>0</v>
      </c>
      <c r="R14" s="251">
        <v>0</v>
      </c>
      <c r="S14" s="251">
        <v>0</v>
      </c>
      <c r="T14" s="251">
        <v>0</v>
      </c>
      <c r="U14" s="243"/>
      <c r="V14" s="243"/>
      <c r="W14" s="243"/>
      <c r="X14" s="243"/>
    </row>
    <row r="15" spans="1:28">
      <c r="A15" s="243">
        <v>14</v>
      </c>
      <c r="B15" s="243" t="s">
        <v>34</v>
      </c>
      <c r="C15" s="243" t="s">
        <v>886</v>
      </c>
      <c r="D15" s="250" t="s">
        <v>67</v>
      </c>
      <c r="E15" s="251">
        <v>0</v>
      </c>
      <c r="F15" s="251">
        <v>0</v>
      </c>
      <c r="G15" s="251">
        <v>0</v>
      </c>
      <c r="H15" s="251">
        <v>0</v>
      </c>
      <c r="I15" s="251">
        <v>0</v>
      </c>
      <c r="J15" s="251">
        <v>0</v>
      </c>
      <c r="K15" s="251">
        <v>0</v>
      </c>
      <c r="L15" s="251">
        <v>0</v>
      </c>
      <c r="M15" s="251">
        <v>0</v>
      </c>
      <c r="N15" s="251">
        <v>0</v>
      </c>
      <c r="O15" s="251">
        <v>0</v>
      </c>
      <c r="P15" s="251">
        <v>0</v>
      </c>
      <c r="Q15" s="251">
        <v>0</v>
      </c>
      <c r="R15" s="251">
        <v>0</v>
      </c>
      <c r="S15" s="251">
        <v>0</v>
      </c>
      <c r="T15" s="251">
        <v>0</v>
      </c>
      <c r="U15" s="243"/>
      <c r="V15" s="243"/>
      <c r="W15" s="243"/>
      <c r="X15" s="243"/>
    </row>
    <row r="16" spans="1:28">
      <c r="A16" s="243">
        <v>15</v>
      </c>
      <c r="B16" s="243" t="s">
        <v>34</v>
      </c>
      <c r="C16" s="243" t="s">
        <v>886</v>
      </c>
      <c r="D16" s="250" t="s">
        <v>68</v>
      </c>
      <c r="E16" s="251">
        <v>0</v>
      </c>
      <c r="F16" s="251">
        <v>0</v>
      </c>
      <c r="G16" s="251">
        <v>0</v>
      </c>
      <c r="H16" s="251">
        <v>0</v>
      </c>
      <c r="I16" s="251">
        <v>0</v>
      </c>
      <c r="J16" s="251">
        <v>0</v>
      </c>
      <c r="K16" s="251">
        <v>0</v>
      </c>
      <c r="L16" s="251">
        <v>0</v>
      </c>
      <c r="M16" s="251">
        <v>0</v>
      </c>
      <c r="N16" s="251">
        <v>0</v>
      </c>
      <c r="O16" s="251">
        <v>0</v>
      </c>
      <c r="P16" s="251">
        <v>0</v>
      </c>
      <c r="Q16" s="251">
        <v>0</v>
      </c>
      <c r="R16" s="251">
        <v>0</v>
      </c>
      <c r="S16" s="251">
        <v>0</v>
      </c>
      <c r="T16" s="251">
        <v>0</v>
      </c>
      <c r="U16" s="243"/>
      <c r="V16" s="243"/>
      <c r="W16" s="243"/>
      <c r="X16" s="243"/>
    </row>
    <row r="17" spans="1:24">
      <c r="A17" s="243">
        <v>16</v>
      </c>
      <c r="B17" s="243" t="s">
        <v>34</v>
      </c>
      <c r="C17" s="243" t="s">
        <v>886</v>
      </c>
      <c r="D17" s="250" t="s">
        <v>1098</v>
      </c>
      <c r="E17" s="251">
        <v>0</v>
      </c>
      <c r="F17" s="251">
        <v>0</v>
      </c>
      <c r="G17" s="251">
        <v>0</v>
      </c>
      <c r="H17" s="251">
        <v>0</v>
      </c>
      <c r="I17" s="251">
        <v>0</v>
      </c>
      <c r="J17" s="251">
        <v>0</v>
      </c>
      <c r="K17" s="251">
        <v>0</v>
      </c>
      <c r="L17" s="251">
        <v>0</v>
      </c>
      <c r="M17" s="251">
        <v>0</v>
      </c>
      <c r="N17" s="251">
        <v>0</v>
      </c>
      <c r="O17" s="251">
        <v>0</v>
      </c>
      <c r="P17" s="251">
        <v>0</v>
      </c>
      <c r="Q17" s="251">
        <v>0</v>
      </c>
      <c r="R17" s="251">
        <v>0</v>
      </c>
      <c r="S17" s="251">
        <v>0</v>
      </c>
      <c r="T17" s="251">
        <v>0</v>
      </c>
      <c r="U17" s="243"/>
      <c r="V17" s="243"/>
      <c r="W17" s="243"/>
      <c r="X17" s="243"/>
    </row>
    <row r="18" spans="1:24">
      <c r="A18" s="243">
        <v>17</v>
      </c>
      <c r="B18" s="243" t="s">
        <v>34</v>
      </c>
      <c r="C18" s="243" t="s">
        <v>886</v>
      </c>
      <c r="D18" s="250" t="s">
        <v>233</v>
      </c>
      <c r="E18" s="251">
        <v>0</v>
      </c>
      <c r="F18" s="251">
        <v>0</v>
      </c>
      <c r="G18" s="251">
        <v>0</v>
      </c>
      <c r="H18" s="251">
        <v>0</v>
      </c>
      <c r="I18" s="251">
        <v>0</v>
      </c>
      <c r="J18" s="251">
        <v>0</v>
      </c>
      <c r="K18" s="251">
        <v>0</v>
      </c>
      <c r="L18" s="251">
        <v>0</v>
      </c>
      <c r="M18" s="251">
        <v>0</v>
      </c>
      <c r="N18" s="251">
        <v>0</v>
      </c>
      <c r="O18" s="251">
        <v>0</v>
      </c>
      <c r="P18" s="251">
        <v>0</v>
      </c>
      <c r="Q18" s="251">
        <v>0</v>
      </c>
      <c r="R18" s="251">
        <v>0</v>
      </c>
      <c r="S18" s="251">
        <v>0</v>
      </c>
      <c r="T18" s="251">
        <v>0</v>
      </c>
      <c r="U18" s="243"/>
      <c r="V18" s="243"/>
      <c r="W18" s="243"/>
      <c r="X18" s="243"/>
    </row>
    <row r="19" spans="1:24">
      <c r="A19" s="243">
        <v>18</v>
      </c>
      <c r="B19" s="243" t="s">
        <v>33</v>
      </c>
      <c r="C19" s="243" t="s">
        <v>32</v>
      </c>
      <c r="D19" s="250" t="s">
        <v>66</v>
      </c>
      <c r="E19" s="251">
        <v>0</v>
      </c>
      <c r="F19" s="251">
        <v>0</v>
      </c>
      <c r="G19" s="251">
        <v>0</v>
      </c>
      <c r="H19" s="251">
        <v>0</v>
      </c>
      <c r="I19" s="251">
        <v>0</v>
      </c>
      <c r="J19" s="251">
        <v>0</v>
      </c>
      <c r="K19" s="251">
        <v>0</v>
      </c>
      <c r="L19" s="251">
        <v>0</v>
      </c>
      <c r="M19" s="251">
        <v>0</v>
      </c>
      <c r="N19" s="251">
        <v>0</v>
      </c>
      <c r="O19" s="251">
        <v>0</v>
      </c>
      <c r="P19" s="251">
        <v>0</v>
      </c>
      <c r="Q19" s="251">
        <v>0</v>
      </c>
      <c r="R19" s="251">
        <v>0</v>
      </c>
      <c r="S19" s="251">
        <v>0</v>
      </c>
      <c r="T19" s="251">
        <v>0</v>
      </c>
      <c r="U19" s="243"/>
      <c r="V19" s="243"/>
      <c r="W19" s="243"/>
      <c r="X19" s="243"/>
    </row>
    <row r="20" spans="1:24">
      <c r="A20" s="243">
        <v>19</v>
      </c>
      <c r="B20" s="243" t="s">
        <v>33</v>
      </c>
      <c r="C20" s="243" t="s">
        <v>32</v>
      </c>
      <c r="D20" s="250" t="s">
        <v>1095</v>
      </c>
      <c r="E20" s="251">
        <v>0</v>
      </c>
      <c r="F20" s="251">
        <v>0</v>
      </c>
      <c r="G20" s="251">
        <v>0</v>
      </c>
      <c r="H20" s="251">
        <v>0</v>
      </c>
      <c r="I20" s="251">
        <v>0</v>
      </c>
      <c r="J20" s="251">
        <v>0</v>
      </c>
      <c r="K20" s="251">
        <v>0</v>
      </c>
      <c r="L20" s="251">
        <v>0</v>
      </c>
      <c r="M20" s="251">
        <v>0</v>
      </c>
      <c r="N20" s="251">
        <v>0</v>
      </c>
      <c r="O20" s="251">
        <v>0</v>
      </c>
      <c r="P20" s="251">
        <v>0</v>
      </c>
      <c r="Q20" s="251">
        <v>0</v>
      </c>
      <c r="R20" s="251">
        <v>0</v>
      </c>
      <c r="S20" s="251">
        <v>0</v>
      </c>
      <c r="T20" s="251">
        <v>0</v>
      </c>
      <c r="U20" s="243"/>
      <c r="V20" s="243"/>
      <c r="W20" s="243"/>
      <c r="X20" s="243"/>
    </row>
    <row r="21" spans="1:24">
      <c r="A21" s="243">
        <v>20</v>
      </c>
      <c r="B21" s="243" t="s">
        <v>33</v>
      </c>
      <c r="C21" s="243" t="s">
        <v>32</v>
      </c>
      <c r="D21" s="250" t="s">
        <v>1096</v>
      </c>
      <c r="E21" s="251">
        <v>0</v>
      </c>
      <c r="F21" s="251">
        <v>0</v>
      </c>
      <c r="G21" s="251">
        <v>0</v>
      </c>
      <c r="H21" s="251">
        <v>0</v>
      </c>
      <c r="I21" s="251">
        <v>0</v>
      </c>
      <c r="J21" s="251">
        <v>0</v>
      </c>
      <c r="K21" s="251">
        <v>0</v>
      </c>
      <c r="L21" s="251">
        <v>0</v>
      </c>
      <c r="M21" s="251">
        <v>0</v>
      </c>
      <c r="N21" s="251">
        <v>0</v>
      </c>
      <c r="O21" s="251">
        <v>0</v>
      </c>
      <c r="P21" s="251">
        <v>0</v>
      </c>
      <c r="Q21" s="251">
        <v>0</v>
      </c>
      <c r="R21" s="251">
        <v>0</v>
      </c>
      <c r="S21" s="251">
        <v>0</v>
      </c>
      <c r="T21" s="251">
        <v>0</v>
      </c>
      <c r="U21" s="243"/>
      <c r="V21" s="243"/>
      <c r="W21" s="243"/>
      <c r="X21" s="243"/>
    </row>
    <row r="22" spans="1:24">
      <c r="A22" s="243">
        <v>21</v>
      </c>
      <c r="B22" s="243" t="s">
        <v>33</v>
      </c>
      <c r="C22" s="243" t="s">
        <v>32</v>
      </c>
      <c r="D22" s="250" t="s">
        <v>1097</v>
      </c>
      <c r="E22" s="251">
        <v>0</v>
      </c>
      <c r="F22" s="251">
        <v>0</v>
      </c>
      <c r="G22" s="251">
        <v>0</v>
      </c>
      <c r="H22" s="251">
        <v>0</v>
      </c>
      <c r="I22" s="251">
        <v>0</v>
      </c>
      <c r="J22" s="251">
        <v>0</v>
      </c>
      <c r="K22" s="251">
        <v>0</v>
      </c>
      <c r="L22" s="251">
        <v>0</v>
      </c>
      <c r="M22" s="251">
        <v>0</v>
      </c>
      <c r="N22" s="251">
        <v>0</v>
      </c>
      <c r="O22" s="251">
        <v>0</v>
      </c>
      <c r="P22" s="251">
        <v>0</v>
      </c>
      <c r="Q22" s="251">
        <v>0</v>
      </c>
      <c r="R22" s="251">
        <v>0</v>
      </c>
      <c r="S22" s="251">
        <v>0</v>
      </c>
      <c r="T22" s="251">
        <v>0</v>
      </c>
      <c r="U22" s="243"/>
      <c r="V22" s="243"/>
      <c r="W22" s="243"/>
      <c r="X22" s="243"/>
    </row>
    <row r="23" spans="1:24">
      <c r="A23" s="243">
        <v>22</v>
      </c>
      <c r="B23" s="243" t="s">
        <v>33</v>
      </c>
      <c r="C23" s="243" t="s">
        <v>32</v>
      </c>
      <c r="D23" s="250" t="s">
        <v>67</v>
      </c>
      <c r="E23" s="251">
        <v>0</v>
      </c>
      <c r="F23" s="251">
        <v>0</v>
      </c>
      <c r="G23" s="251">
        <v>0</v>
      </c>
      <c r="H23" s="251">
        <v>0</v>
      </c>
      <c r="I23" s="251">
        <v>0</v>
      </c>
      <c r="J23" s="251">
        <v>0</v>
      </c>
      <c r="K23" s="251">
        <v>0</v>
      </c>
      <c r="L23" s="251">
        <v>0</v>
      </c>
      <c r="M23" s="251">
        <v>0</v>
      </c>
      <c r="N23" s="251">
        <v>0</v>
      </c>
      <c r="O23" s="251">
        <v>0</v>
      </c>
      <c r="P23" s="251">
        <v>0</v>
      </c>
      <c r="Q23" s="251">
        <v>0</v>
      </c>
      <c r="R23" s="251">
        <v>0</v>
      </c>
      <c r="S23" s="251">
        <v>0</v>
      </c>
      <c r="T23" s="251">
        <v>0</v>
      </c>
      <c r="U23" s="243"/>
      <c r="V23" s="243"/>
      <c r="W23" s="243"/>
      <c r="X23" s="243"/>
    </row>
    <row r="24" spans="1:24">
      <c r="A24" s="243">
        <v>23</v>
      </c>
      <c r="B24" s="243" t="s">
        <v>33</v>
      </c>
      <c r="C24" s="243" t="s">
        <v>32</v>
      </c>
      <c r="D24" s="250" t="s">
        <v>68</v>
      </c>
      <c r="E24" s="251">
        <v>0</v>
      </c>
      <c r="F24" s="251">
        <v>0</v>
      </c>
      <c r="G24" s="251">
        <v>0</v>
      </c>
      <c r="H24" s="251">
        <v>0</v>
      </c>
      <c r="I24" s="251">
        <v>0</v>
      </c>
      <c r="J24" s="251">
        <v>0</v>
      </c>
      <c r="K24" s="251">
        <v>0</v>
      </c>
      <c r="L24" s="251">
        <v>0</v>
      </c>
      <c r="M24" s="251">
        <v>0</v>
      </c>
      <c r="N24" s="251">
        <v>0</v>
      </c>
      <c r="O24" s="251">
        <v>0</v>
      </c>
      <c r="P24" s="251">
        <v>0</v>
      </c>
      <c r="Q24" s="251">
        <v>0</v>
      </c>
      <c r="R24" s="251">
        <v>0</v>
      </c>
      <c r="S24" s="251">
        <v>0</v>
      </c>
      <c r="T24" s="251">
        <v>0</v>
      </c>
      <c r="U24" s="243"/>
      <c r="V24" s="243"/>
      <c r="W24" s="243"/>
      <c r="X24" s="243"/>
    </row>
    <row r="25" spans="1:24">
      <c r="A25" s="243">
        <v>24</v>
      </c>
      <c r="B25" s="243" t="s">
        <v>33</v>
      </c>
      <c r="C25" s="243" t="s">
        <v>32</v>
      </c>
      <c r="D25" s="250" t="s">
        <v>1098</v>
      </c>
      <c r="E25" s="251">
        <v>0</v>
      </c>
      <c r="F25" s="251">
        <v>0</v>
      </c>
      <c r="G25" s="251">
        <v>0</v>
      </c>
      <c r="H25" s="251">
        <v>0</v>
      </c>
      <c r="I25" s="251">
        <v>0</v>
      </c>
      <c r="J25" s="251">
        <v>0</v>
      </c>
      <c r="K25" s="251">
        <v>0</v>
      </c>
      <c r="L25" s="251">
        <v>0</v>
      </c>
      <c r="M25" s="251">
        <v>0</v>
      </c>
      <c r="N25" s="251">
        <v>0</v>
      </c>
      <c r="O25" s="251">
        <v>0</v>
      </c>
      <c r="P25" s="251">
        <v>0</v>
      </c>
      <c r="Q25" s="251">
        <v>0</v>
      </c>
      <c r="R25" s="251">
        <v>0</v>
      </c>
      <c r="S25" s="251">
        <v>0</v>
      </c>
      <c r="T25" s="251">
        <v>0</v>
      </c>
      <c r="U25" s="243"/>
      <c r="V25" s="243"/>
      <c r="W25" s="243"/>
      <c r="X25" s="243"/>
    </row>
    <row r="26" spans="1:24">
      <c r="A26" s="243">
        <v>25</v>
      </c>
      <c r="B26" s="243" t="s">
        <v>33</v>
      </c>
      <c r="C26" s="243" t="s">
        <v>32</v>
      </c>
      <c r="D26" s="250" t="s">
        <v>233</v>
      </c>
      <c r="E26" s="251">
        <v>0</v>
      </c>
      <c r="F26" s="251">
        <v>0</v>
      </c>
      <c r="G26" s="251">
        <v>0</v>
      </c>
      <c r="H26" s="251">
        <v>0</v>
      </c>
      <c r="I26" s="251">
        <v>0</v>
      </c>
      <c r="J26" s="251">
        <v>0</v>
      </c>
      <c r="K26" s="251">
        <v>0</v>
      </c>
      <c r="L26" s="251">
        <v>0</v>
      </c>
      <c r="M26" s="251">
        <v>0</v>
      </c>
      <c r="N26" s="251">
        <v>0</v>
      </c>
      <c r="O26" s="251">
        <v>0</v>
      </c>
      <c r="P26" s="251">
        <v>0</v>
      </c>
      <c r="Q26" s="251">
        <v>0</v>
      </c>
      <c r="R26" s="251">
        <v>0</v>
      </c>
      <c r="S26" s="251">
        <v>0</v>
      </c>
      <c r="T26" s="251">
        <v>0</v>
      </c>
      <c r="U26" s="243"/>
      <c r="V26" s="243"/>
      <c r="W26" s="243"/>
      <c r="X26" s="243"/>
    </row>
    <row r="27" spans="1:24">
      <c r="A27" s="243">
        <v>26</v>
      </c>
      <c r="B27" s="243" t="s">
        <v>30</v>
      </c>
      <c r="C27" s="243" t="s">
        <v>29</v>
      </c>
      <c r="D27" s="250" t="s">
        <v>66</v>
      </c>
      <c r="E27" s="251">
        <v>0</v>
      </c>
      <c r="F27" s="251">
        <v>0</v>
      </c>
      <c r="G27" s="251">
        <v>0</v>
      </c>
      <c r="H27" s="251">
        <v>0</v>
      </c>
      <c r="I27" s="251">
        <v>0</v>
      </c>
      <c r="J27" s="251">
        <v>0</v>
      </c>
      <c r="K27" s="251">
        <v>0</v>
      </c>
      <c r="L27" s="251">
        <v>0</v>
      </c>
      <c r="M27" s="251">
        <v>0</v>
      </c>
      <c r="N27" s="251">
        <v>0</v>
      </c>
      <c r="O27" s="251">
        <v>0</v>
      </c>
      <c r="P27" s="251">
        <v>0</v>
      </c>
      <c r="Q27" s="251">
        <v>0</v>
      </c>
      <c r="R27" s="251">
        <v>0</v>
      </c>
      <c r="S27" s="251">
        <v>0</v>
      </c>
      <c r="T27" s="251">
        <v>0</v>
      </c>
      <c r="U27" s="243"/>
      <c r="V27" s="243"/>
      <c r="W27" s="243"/>
      <c r="X27" s="243"/>
    </row>
    <row r="28" spans="1:24">
      <c r="A28" s="243">
        <v>27</v>
      </c>
      <c r="B28" s="243" t="s">
        <v>30</v>
      </c>
      <c r="C28" s="243" t="s">
        <v>29</v>
      </c>
      <c r="D28" s="250" t="s">
        <v>1095</v>
      </c>
      <c r="E28" s="251">
        <v>0</v>
      </c>
      <c r="F28" s="251">
        <v>0</v>
      </c>
      <c r="G28" s="251">
        <v>0</v>
      </c>
      <c r="H28" s="251">
        <v>0</v>
      </c>
      <c r="I28" s="251">
        <v>0</v>
      </c>
      <c r="J28" s="251">
        <v>0</v>
      </c>
      <c r="K28" s="251">
        <v>0</v>
      </c>
      <c r="L28" s="251">
        <v>0</v>
      </c>
      <c r="M28" s="251">
        <v>0</v>
      </c>
      <c r="N28" s="251">
        <v>0</v>
      </c>
      <c r="O28" s="251">
        <v>0</v>
      </c>
      <c r="P28" s="251">
        <v>0</v>
      </c>
      <c r="Q28" s="251">
        <v>0</v>
      </c>
      <c r="R28" s="251">
        <v>0</v>
      </c>
      <c r="S28" s="251">
        <v>0</v>
      </c>
      <c r="T28" s="251">
        <v>0</v>
      </c>
      <c r="U28" s="243"/>
      <c r="V28" s="243"/>
      <c r="W28" s="243"/>
      <c r="X28" s="243"/>
    </row>
    <row r="29" spans="1:24">
      <c r="A29" s="243">
        <v>28</v>
      </c>
      <c r="B29" s="243" t="s">
        <v>30</v>
      </c>
      <c r="C29" s="243" t="s">
        <v>29</v>
      </c>
      <c r="D29" s="250" t="s">
        <v>1096</v>
      </c>
      <c r="E29" s="251">
        <v>0</v>
      </c>
      <c r="F29" s="251">
        <v>0</v>
      </c>
      <c r="G29" s="251">
        <v>0</v>
      </c>
      <c r="H29" s="251">
        <v>0</v>
      </c>
      <c r="I29" s="251">
        <v>0</v>
      </c>
      <c r="J29" s="251">
        <v>0</v>
      </c>
      <c r="K29" s="251">
        <v>0</v>
      </c>
      <c r="L29" s="251">
        <v>0</v>
      </c>
      <c r="M29" s="251">
        <v>0</v>
      </c>
      <c r="N29" s="251">
        <v>0</v>
      </c>
      <c r="O29" s="251">
        <v>0</v>
      </c>
      <c r="P29" s="251">
        <v>0</v>
      </c>
      <c r="Q29" s="251">
        <v>0</v>
      </c>
      <c r="R29" s="251">
        <v>0</v>
      </c>
      <c r="S29" s="251">
        <v>0</v>
      </c>
      <c r="T29" s="251">
        <v>0</v>
      </c>
      <c r="U29" s="243"/>
      <c r="V29" s="243"/>
      <c r="W29" s="243"/>
      <c r="X29" s="243"/>
    </row>
    <row r="30" spans="1:24">
      <c r="A30" s="243">
        <v>29</v>
      </c>
      <c r="B30" s="243" t="s">
        <v>30</v>
      </c>
      <c r="C30" s="243" t="s">
        <v>29</v>
      </c>
      <c r="D30" s="250" t="s">
        <v>1097</v>
      </c>
      <c r="E30" s="251">
        <v>0</v>
      </c>
      <c r="F30" s="251">
        <v>0</v>
      </c>
      <c r="G30" s="251">
        <v>0</v>
      </c>
      <c r="H30" s="251">
        <v>0</v>
      </c>
      <c r="I30" s="251">
        <v>0</v>
      </c>
      <c r="J30" s="251">
        <v>0</v>
      </c>
      <c r="K30" s="251">
        <v>0</v>
      </c>
      <c r="L30" s="251">
        <v>0</v>
      </c>
      <c r="M30" s="251">
        <v>0</v>
      </c>
      <c r="N30" s="251">
        <v>0</v>
      </c>
      <c r="O30" s="251">
        <v>0</v>
      </c>
      <c r="P30" s="251">
        <v>0</v>
      </c>
      <c r="Q30" s="251">
        <v>0</v>
      </c>
      <c r="R30" s="251">
        <v>0</v>
      </c>
      <c r="S30" s="251">
        <v>0</v>
      </c>
      <c r="T30" s="251">
        <v>0</v>
      </c>
      <c r="U30" s="243"/>
      <c r="V30" s="243"/>
      <c r="W30" s="243"/>
      <c r="X30" s="243"/>
    </row>
    <row r="31" spans="1:24">
      <c r="A31" s="243">
        <v>30</v>
      </c>
      <c r="B31" s="243" t="s">
        <v>30</v>
      </c>
      <c r="C31" s="243" t="s">
        <v>29</v>
      </c>
      <c r="D31" s="250" t="s">
        <v>67</v>
      </c>
      <c r="E31" s="251">
        <v>0</v>
      </c>
      <c r="F31" s="251">
        <v>0</v>
      </c>
      <c r="G31" s="251">
        <v>0</v>
      </c>
      <c r="H31" s="251">
        <v>0</v>
      </c>
      <c r="I31" s="251">
        <v>0</v>
      </c>
      <c r="J31" s="251">
        <v>0</v>
      </c>
      <c r="K31" s="251">
        <v>0</v>
      </c>
      <c r="L31" s="251">
        <v>0</v>
      </c>
      <c r="M31" s="251">
        <v>0</v>
      </c>
      <c r="N31" s="251">
        <v>0</v>
      </c>
      <c r="O31" s="251">
        <v>0</v>
      </c>
      <c r="P31" s="251">
        <v>0</v>
      </c>
      <c r="Q31" s="251">
        <v>0</v>
      </c>
      <c r="R31" s="251">
        <v>0</v>
      </c>
      <c r="S31" s="251">
        <v>0</v>
      </c>
      <c r="T31" s="251">
        <v>0</v>
      </c>
      <c r="U31" s="243"/>
      <c r="V31" s="243"/>
      <c r="W31" s="243"/>
      <c r="X31" s="243"/>
    </row>
    <row r="32" spans="1:24">
      <c r="A32" s="243">
        <v>31</v>
      </c>
      <c r="B32" s="243" t="s">
        <v>30</v>
      </c>
      <c r="C32" s="243" t="s">
        <v>29</v>
      </c>
      <c r="D32" s="250" t="s">
        <v>68</v>
      </c>
      <c r="E32" s="251">
        <v>0</v>
      </c>
      <c r="F32" s="251">
        <v>0</v>
      </c>
      <c r="G32" s="251">
        <v>0</v>
      </c>
      <c r="H32" s="251">
        <v>0</v>
      </c>
      <c r="I32" s="251">
        <v>0</v>
      </c>
      <c r="J32" s="251">
        <v>0</v>
      </c>
      <c r="K32" s="251">
        <v>0</v>
      </c>
      <c r="L32" s="251">
        <v>0</v>
      </c>
      <c r="M32" s="251">
        <v>0</v>
      </c>
      <c r="N32" s="251">
        <v>0</v>
      </c>
      <c r="O32" s="251">
        <v>0</v>
      </c>
      <c r="P32" s="251">
        <v>0</v>
      </c>
      <c r="Q32" s="251">
        <v>0</v>
      </c>
      <c r="R32" s="251">
        <v>0</v>
      </c>
      <c r="S32" s="251">
        <v>0</v>
      </c>
      <c r="T32" s="251">
        <v>0</v>
      </c>
      <c r="U32" s="243"/>
      <c r="V32" s="243"/>
      <c r="W32" s="243"/>
      <c r="X32" s="243"/>
    </row>
    <row r="33" spans="1:24">
      <c r="A33" s="243">
        <v>32</v>
      </c>
      <c r="B33" s="243" t="s">
        <v>30</v>
      </c>
      <c r="C33" s="243" t="s">
        <v>29</v>
      </c>
      <c r="D33" s="250" t="s">
        <v>1098</v>
      </c>
      <c r="E33" s="251">
        <v>0</v>
      </c>
      <c r="F33" s="251">
        <v>0</v>
      </c>
      <c r="G33" s="251">
        <v>0</v>
      </c>
      <c r="H33" s="251">
        <v>0</v>
      </c>
      <c r="I33" s="251">
        <v>0</v>
      </c>
      <c r="J33" s="251">
        <v>0</v>
      </c>
      <c r="K33" s="251">
        <v>0</v>
      </c>
      <c r="L33" s="251">
        <v>0</v>
      </c>
      <c r="M33" s="251">
        <v>0</v>
      </c>
      <c r="N33" s="251">
        <v>0</v>
      </c>
      <c r="O33" s="251">
        <v>0</v>
      </c>
      <c r="P33" s="251">
        <v>0</v>
      </c>
      <c r="Q33" s="251">
        <v>0</v>
      </c>
      <c r="R33" s="251">
        <v>0</v>
      </c>
      <c r="S33" s="251">
        <v>0</v>
      </c>
      <c r="T33" s="251">
        <v>0</v>
      </c>
      <c r="U33" s="243"/>
      <c r="V33" s="243"/>
      <c r="W33" s="243"/>
      <c r="X33" s="243"/>
    </row>
    <row r="34" spans="1:24">
      <c r="A34" s="243">
        <v>33</v>
      </c>
      <c r="B34" s="243" t="s">
        <v>30</v>
      </c>
      <c r="C34" s="243" t="s">
        <v>29</v>
      </c>
      <c r="D34" s="250" t="s">
        <v>233</v>
      </c>
      <c r="E34" s="251">
        <v>0</v>
      </c>
      <c r="F34" s="251">
        <v>0</v>
      </c>
      <c r="G34" s="251">
        <v>0</v>
      </c>
      <c r="H34" s="251">
        <v>0</v>
      </c>
      <c r="I34" s="251">
        <v>0</v>
      </c>
      <c r="J34" s="251">
        <v>0</v>
      </c>
      <c r="K34" s="251">
        <v>0</v>
      </c>
      <c r="L34" s="251">
        <v>0</v>
      </c>
      <c r="M34" s="251">
        <v>0</v>
      </c>
      <c r="N34" s="251">
        <v>0</v>
      </c>
      <c r="O34" s="251">
        <v>0</v>
      </c>
      <c r="P34" s="251">
        <v>0</v>
      </c>
      <c r="Q34" s="251">
        <v>0</v>
      </c>
      <c r="R34" s="251">
        <v>0</v>
      </c>
      <c r="S34" s="251">
        <v>0</v>
      </c>
      <c r="T34" s="251">
        <v>0</v>
      </c>
      <c r="U34" s="243"/>
      <c r="V34" s="243"/>
      <c r="W34" s="243"/>
      <c r="X34" s="243"/>
    </row>
    <row r="35" spans="1:24">
      <c r="A35" s="243">
        <v>34</v>
      </c>
      <c r="B35" s="243" t="s">
        <v>28</v>
      </c>
      <c r="C35" s="243" t="s">
        <v>27</v>
      </c>
      <c r="D35" s="250" t="s">
        <v>66</v>
      </c>
      <c r="E35" s="251">
        <v>0</v>
      </c>
      <c r="F35" s="251">
        <v>0</v>
      </c>
      <c r="G35" s="251">
        <v>0</v>
      </c>
      <c r="H35" s="251">
        <v>0</v>
      </c>
      <c r="I35" s="251">
        <v>0</v>
      </c>
      <c r="J35" s="251">
        <v>0</v>
      </c>
      <c r="K35" s="251">
        <v>0</v>
      </c>
      <c r="L35" s="251">
        <v>0</v>
      </c>
      <c r="M35" s="251">
        <v>0</v>
      </c>
      <c r="N35" s="251">
        <v>0</v>
      </c>
      <c r="O35" s="251">
        <v>0</v>
      </c>
      <c r="P35" s="251">
        <v>0</v>
      </c>
      <c r="Q35" s="251">
        <v>0</v>
      </c>
      <c r="R35" s="251">
        <v>0</v>
      </c>
      <c r="S35" s="251">
        <v>0</v>
      </c>
      <c r="T35" s="251">
        <v>0</v>
      </c>
      <c r="U35" s="243"/>
      <c r="V35" s="243"/>
      <c r="W35" s="243"/>
      <c r="X35" s="243"/>
    </row>
    <row r="36" spans="1:24">
      <c r="A36" s="243">
        <v>35</v>
      </c>
      <c r="B36" s="243" t="s">
        <v>28</v>
      </c>
      <c r="C36" s="243" t="s">
        <v>27</v>
      </c>
      <c r="D36" s="250" t="s">
        <v>1095</v>
      </c>
      <c r="E36" s="251">
        <v>0</v>
      </c>
      <c r="F36" s="251">
        <v>0</v>
      </c>
      <c r="G36" s="251">
        <v>0</v>
      </c>
      <c r="H36" s="251">
        <v>0</v>
      </c>
      <c r="I36" s="251">
        <v>0</v>
      </c>
      <c r="J36" s="251">
        <v>0</v>
      </c>
      <c r="K36" s="251">
        <v>0</v>
      </c>
      <c r="L36" s="251">
        <v>0</v>
      </c>
      <c r="M36" s="251">
        <v>0</v>
      </c>
      <c r="N36" s="251">
        <v>0</v>
      </c>
      <c r="O36" s="251">
        <v>0</v>
      </c>
      <c r="P36" s="251">
        <v>0</v>
      </c>
      <c r="Q36" s="251">
        <v>0</v>
      </c>
      <c r="R36" s="251">
        <v>0</v>
      </c>
      <c r="S36" s="251">
        <v>0</v>
      </c>
      <c r="T36" s="251">
        <v>0</v>
      </c>
      <c r="U36" s="243"/>
      <c r="V36" s="243"/>
      <c r="W36" s="243"/>
      <c r="X36" s="243"/>
    </row>
    <row r="37" spans="1:24">
      <c r="A37" s="243">
        <v>36</v>
      </c>
      <c r="B37" s="243" t="s">
        <v>28</v>
      </c>
      <c r="C37" s="243" t="s">
        <v>27</v>
      </c>
      <c r="D37" s="250" t="s">
        <v>1096</v>
      </c>
      <c r="E37" s="251">
        <v>0</v>
      </c>
      <c r="F37" s="251">
        <v>0</v>
      </c>
      <c r="G37" s="251">
        <v>0</v>
      </c>
      <c r="H37" s="251">
        <v>0</v>
      </c>
      <c r="I37" s="251">
        <v>0</v>
      </c>
      <c r="J37" s="251">
        <v>0</v>
      </c>
      <c r="K37" s="251">
        <v>0</v>
      </c>
      <c r="L37" s="251">
        <v>0</v>
      </c>
      <c r="M37" s="251">
        <v>0</v>
      </c>
      <c r="N37" s="251">
        <v>0</v>
      </c>
      <c r="O37" s="251">
        <v>0</v>
      </c>
      <c r="P37" s="251">
        <v>0</v>
      </c>
      <c r="Q37" s="251">
        <v>0</v>
      </c>
      <c r="R37" s="251">
        <v>0</v>
      </c>
      <c r="S37" s="251">
        <v>0</v>
      </c>
      <c r="T37" s="251">
        <v>0</v>
      </c>
      <c r="U37" s="243"/>
      <c r="V37" s="243"/>
      <c r="W37" s="243"/>
      <c r="X37" s="243"/>
    </row>
    <row r="38" spans="1:24">
      <c r="A38" s="243">
        <v>37</v>
      </c>
      <c r="B38" s="243" t="s">
        <v>28</v>
      </c>
      <c r="C38" s="243" t="s">
        <v>27</v>
      </c>
      <c r="D38" s="250" t="s">
        <v>1097</v>
      </c>
      <c r="E38" s="251">
        <v>0</v>
      </c>
      <c r="F38" s="251">
        <v>0</v>
      </c>
      <c r="G38" s="251">
        <v>0</v>
      </c>
      <c r="H38" s="251">
        <v>0</v>
      </c>
      <c r="I38" s="251">
        <v>0</v>
      </c>
      <c r="J38" s="251">
        <v>0</v>
      </c>
      <c r="K38" s="251">
        <v>0</v>
      </c>
      <c r="L38" s="251">
        <v>0</v>
      </c>
      <c r="M38" s="251">
        <v>0</v>
      </c>
      <c r="N38" s="251">
        <v>0</v>
      </c>
      <c r="O38" s="251">
        <v>0</v>
      </c>
      <c r="P38" s="251">
        <v>0</v>
      </c>
      <c r="Q38" s="251">
        <v>0</v>
      </c>
      <c r="R38" s="251">
        <v>0</v>
      </c>
      <c r="S38" s="251">
        <v>0</v>
      </c>
      <c r="T38" s="251">
        <v>0</v>
      </c>
      <c r="U38" s="243"/>
      <c r="V38" s="243"/>
      <c r="W38" s="243"/>
      <c r="X38" s="243"/>
    </row>
    <row r="39" spans="1:24">
      <c r="A39" s="243">
        <v>38</v>
      </c>
      <c r="B39" s="243" t="s">
        <v>28</v>
      </c>
      <c r="C39" s="243" t="s">
        <v>27</v>
      </c>
      <c r="D39" s="250" t="s">
        <v>67</v>
      </c>
      <c r="E39" s="251">
        <v>0</v>
      </c>
      <c r="F39" s="251">
        <v>0</v>
      </c>
      <c r="G39" s="251">
        <v>0</v>
      </c>
      <c r="H39" s="251">
        <v>0</v>
      </c>
      <c r="I39" s="251">
        <v>0</v>
      </c>
      <c r="J39" s="251">
        <v>0</v>
      </c>
      <c r="K39" s="251">
        <v>0</v>
      </c>
      <c r="L39" s="251">
        <v>0</v>
      </c>
      <c r="M39" s="251">
        <v>0</v>
      </c>
      <c r="N39" s="251">
        <v>0</v>
      </c>
      <c r="O39" s="251">
        <v>0</v>
      </c>
      <c r="P39" s="251">
        <v>0</v>
      </c>
      <c r="Q39" s="251">
        <v>0</v>
      </c>
      <c r="R39" s="251">
        <v>0</v>
      </c>
      <c r="S39" s="251">
        <v>0</v>
      </c>
      <c r="T39" s="251">
        <v>0</v>
      </c>
      <c r="U39" s="243"/>
      <c r="V39" s="243"/>
      <c r="W39" s="243"/>
      <c r="X39" s="243"/>
    </row>
    <row r="40" spans="1:24">
      <c r="A40" s="243">
        <v>39</v>
      </c>
      <c r="B40" s="243" t="s">
        <v>28</v>
      </c>
      <c r="C40" s="243" t="s">
        <v>27</v>
      </c>
      <c r="D40" s="250" t="s">
        <v>68</v>
      </c>
      <c r="E40" s="251">
        <v>0</v>
      </c>
      <c r="F40" s="251">
        <v>0</v>
      </c>
      <c r="G40" s="251">
        <v>0</v>
      </c>
      <c r="H40" s="251">
        <v>0</v>
      </c>
      <c r="I40" s="251">
        <v>0</v>
      </c>
      <c r="J40" s="251">
        <v>0</v>
      </c>
      <c r="K40" s="251">
        <v>0</v>
      </c>
      <c r="L40" s="251">
        <v>0</v>
      </c>
      <c r="M40" s="251">
        <v>0</v>
      </c>
      <c r="N40" s="251">
        <v>0</v>
      </c>
      <c r="O40" s="251">
        <v>0</v>
      </c>
      <c r="P40" s="251">
        <v>0</v>
      </c>
      <c r="Q40" s="251">
        <v>0</v>
      </c>
      <c r="R40" s="251">
        <v>0</v>
      </c>
      <c r="S40" s="251">
        <v>0</v>
      </c>
      <c r="T40" s="251">
        <v>0</v>
      </c>
      <c r="U40" s="243"/>
      <c r="V40" s="243"/>
      <c r="W40" s="243"/>
      <c r="X40" s="243"/>
    </row>
    <row r="41" spans="1:24">
      <c r="A41" s="243">
        <v>40</v>
      </c>
      <c r="B41" s="243" t="s">
        <v>28</v>
      </c>
      <c r="C41" s="243" t="s">
        <v>27</v>
      </c>
      <c r="D41" s="250" t="s">
        <v>1098</v>
      </c>
      <c r="E41" s="251">
        <v>0</v>
      </c>
      <c r="F41" s="251">
        <v>0</v>
      </c>
      <c r="G41" s="251">
        <v>0</v>
      </c>
      <c r="H41" s="251">
        <v>0</v>
      </c>
      <c r="I41" s="251">
        <v>0</v>
      </c>
      <c r="J41" s="251">
        <v>0</v>
      </c>
      <c r="K41" s="251">
        <v>0</v>
      </c>
      <c r="L41" s="251">
        <v>0</v>
      </c>
      <c r="M41" s="251">
        <v>0</v>
      </c>
      <c r="N41" s="251">
        <v>0</v>
      </c>
      <c r="O41" s="251">
        <v>0</v>
      </c>
      <c r="P41" s="251">
        <v>0</v>
      </c>
      <c r="Q41" s="251">
        <v>0</v>
      </c>
      <c r="R41" s="251">
        <v>0</v>
      </c>
      <c r="S41" s="251">
        <v>0</v>
      </c>
      <c r="T41" s="251">
        <v>0</v>
      </c>
      <c r="U41" s="243"/>
      <c r="V41" s="243"/>
      <c r="W41" s="243"/>
      <c r="X41" s="243"/>
    </row>
    <row r="42" spans="1:24">
      <c r="A42" s="243">
        <v>41</v>
      </c>
      <c r="B42" s="243" t="s">
        <v>28</v>
      </c>
      <c r="C42" s="243" t="s">
        <v>27</v>
      </c>
      <c r="D42" s="250" t="s">
        <v>233</v>
      </c>
      <c r="E42" s="251">
        <v>0</v>
      </c>
      <c r="F42" s="251">
        <v>0</v>
      </c>
      <c r="G42" s="251">
        <v>0</v>
      </c>
      <c r="H42" s="251">
        <v>0</v>
      </c>
      <c r="I42" s="251">
        <v>0</v>
      </c>
      <c r="J42" s="251">
        <v>0</v>
      </c>
      <c r="K42" s="251">
        <v>0</v>
      </c>
      <c r="L42" s="251">
        <v>0</v>
      </c>
      <c r="M42" s="251">
        <v>0</v>
      </c>
      <c r="N42" s="251">
        <v>0</v>
      </c>
      <c r="O42" s="251">
        <v>0</v>
      </c>
      <c r="P42" s="251">
        <v>0</v>
      </c>
      <c r="Q42" s="251">
        <v>0</v>
      </c>
      <c r="R42" s="251">
        <v>0</v>
      </c>
      <c r="S42" s="251">
        <v>0</v>
      </c>
      <c r="T42" s="251">
        <v>0</v>
      </c>
      <c r="U42" s="243"/>
      <c r="V42" s="243"/>
      <c r="W42" s="243"/>
      <c r="X42" s="243"/>
    </row>
    <row r="43" spans="1:24">
      <c r="A43" s="243">
        <v>42</v>
      </c>
      <c r="B43" s="243" t="s">
        <v>25</v>
      </c>
      <c r="C43" s="243" t="s">
        <v>24</v>
      </c>
      <c r="D43" s="250" t="s">
        <v>66</v>
      </c>
      <c r="E43" s="251">
        <v>0</v>
      </c>
      <c r="F43" s="251">
        <v>0</v>
      </c>
      <c r="G43" s="251">
        <v>0</v>
      </c>
      <c r="H43" s="251">
        <v>0</v>
      </c>
      <c r="I43" s="251">
        <v>0</v>
      </c>
      <c r="J43" s="251">
        <v>0</v>
      </c>
      <c r="K43" s="251">
        <v>0</v>
      </c>
      <c r="L43" s="251">
        <v>0</v>
      </c>
      <c r="M43" s="251">
        <v>0</v>
      </c>
      <c r="N43" s="251">
        <v>0</v>
      </c>
      <c r="O43" s="251">
        <v>0</v>
      </c>
      <c r="P43" s="251">
        <v>0</v>
      </c>
      <c r="Q43" s="251">
        <v>0</v>
      </c>
      <c r="R43" s="251">
        <v>0</v>
      </c>
      <c r="S43" s="251">
        <v>0</v>
      </c>
      <c r="T43" s="251">
        <v>0</v>
      </c>
      <c r="U43" s="243"/>
      <c r="V43" s="243"/>
      <c r="W43" s="243"/>
      <c r="X43" s="243"/>
    </row>
    <row r="44" spans="1:24">
      <c r="A44" s="243">
        <v>43</v>
      </c>
      <c r="B44" s="243" t="s">
        <v>25</v>
      </c>
      <c r="C44" s="243" t="s">
        <v>24</v>
      </c>
      <c r="D44" s="250" t="s">
        <v>1095</v>
      </c>
      <c r="E44" s="251">
        <v>0</v>
      </c>
      <c r="F44" s="251">
        <v>0</v>
      </c>
      <c r="G44" s="251">
        <v>0</v>
      </c>
      <c r="H44" s="251">
        <v>0</v>
      </c>
      <c r="I44" s="251">
        <v>0</v>
      </c>
      <c r="J44" s="251">
        <v>0</v>
      </c>
      <c r="K44" s="251">
        <v>0</v>
      </c>
      <c r="L44" s="251">
        <v>0</v>
      </c>
      <c r="M44" s="251">
        <v>0</v>
      </c>
      <c r="N44" s="251">
        <v>0</v>
      </c>
      <c r="O44" s="251">
        <v>0</v>
      </c>
      <c r="P44" s="251">
        <v>0</v>
      </c>
      <c r="Q44" s="251">
        <v>0</v>
      </c>
      <c r="R44" s="251">
        <v>0</v>
      </c>
      <c r="S44" s="251">
        <v>0</v>
      </c>
      <c r="T44" s="251">
        <v>0</v>
      </c>
      <c r="U44" s="243"/>
      <c r="V44" s="243"/>
      <c r="W44" s="243"/>
      <c r="X44" s="243"/>
    </row>
    <row r="45" spans="1:24">
      <c r="A45" s="243">
        <v>44</v>
      </c>
      <c r="B45" s="243" t="s">
        <v>25</v>
      </c>
      <c r="C45" s="243" t="s">
        <v>24</v>
      </c>
      <c r="D45" s="250" t="s">
        <v>1096</v>
      </c>
      <c r="E45" s="251">
        <v>0</v>
      </c>
      <c r="F45" s="251">
        <v>0</v>
      </c>
      <c r="G45" s="251">
        <v>0</v>
      </c>
      <c r="H45" s="251">
        <v>0</v>
      </c>
      <c r="I45" s="251">
        <v>0</v>
      </c>
      <c r="J45" s="251">
        <v>0</v>
      </c>
      <c r="K45" s="251">
        <v>0</v>
      </c>
      <c r="L45" s="251">
        <v>0</v>
      </c>
      <c r="M45" s="251">
        <v>0</v>
      </c>
      <c r="N45" s="251">
        <v>0</v>
      </c>
      <c r="O45" s="251">
        <v>0</v>
      </c>
      <c r="P45" s="251">
        <v>0</v>
      </c>
      <c r="Q45" s="251">
        <v>0</v>
      </c>
      <c r="R45" s="251">
        <v>0</v>
      </c>
      <c r="S45" s="251">
        <v>0</v>
      </c>
      <c r="T45" s="251">
        <v>0</v>
      </c>
      <c r="U45" s="243"/>
      <c r="V45" s="243"/>
      <c r="W45" s="243"/>
      <c r="X45" s="243"/>
    </row>
    <row r="46" spans="1:24">
      <c r="A46" s="243">
        <v>45</v>
      </c>
      <c r="B46" s="243" t="s">
        <v>25</v>
      </c>
      <c r="C46" s="243" t="s">
        <v>24</v>
      </c>
      <c r="D46" s="250" t="s">
        <v>1097</v>
      </c>
      <c r="E46" s="251">
        <v>0</v>
      </c>
      <c r="F46" s="251">
        <v>0</v>
      </c>
      <c r="G46" s="251">
        <v>0</v>
      </c>
      <c r="H46" s="251">
        <v>0</v>
      </c>
      <c r="I46" s="251">
        <v>0</v>
      </c>
      <c r="J46" s="251">
        <v>0</v>
      </c>
      <c r="K46" s="251">
        <v>0</v>
      </c>
      <c r="L46" s="251">
        <v>0</v>
      </c>
      <c r="M46" s="251">
        <v>0</v>
      </c>
      <c r="N46" s="251">
        <v>0</v>
      </c>
      <c r="O46" s="251">
        <v>0</v>
      </c>
      <c r="P46" s="251">
        <v>0</v>
      </c>
      <c r="Q46" s="251">
        <v>0</v>
      </c>
      <c r="R46" s="251">
        <v>0</v>
      </c>
      <c r="S46" s="251">
        <v>0</v>
      </c>
      <c r="T46" s="251">
        <v>0</v>
      </c>
      <c r="U46" s="243"/>
      <c r="V46" s="243"/>
      <c r="W46" s="243"/>
      <c r="X46" s="243"/>
    </row>
    <row r="47" spans="1:24">
      <c r="A47" s="243">
        <v>46</v>
      </c>
      <c r="B47" s="243" t="s">
        <v>25</v>
      </c>
      <c r="C47" s="243" t="s">
        <v>24</v>
      </c>
      <c r="D47" s="250" t="s">
        <v>67</v>
      </c>
      <c r="E47" s="251">
        <v>0</v>
      </c>
      <c r="F47" s="251">
        <v>0</v>
      </c>
      <c r="G47" s="251">
        <v>0</v>
      </c>
      <c r="H47" s="251">
        <v>0</v>
      </c>
      <c r="I47" s="251">
        <v>0</v>
      </c>
      <c r="J47" s="251">
        <v>0</v>
      </c>
      <c r="K47" s="251">
        <v>0</v>
      </c>
      <c r="L47" s="251">
        <v>0</v>
      </c>
      <c r="M47" s="251">
        <v>0</v>
      </c>
      <c r="N47" s="251">
        <v>0</v>
      </c>
      <c r="O47" s="251">
        <v>0</v>
      </c>
      <c r="P47" s="251">
        <v>0</v>
      </c>
      <c r="Q47" s="251">
        <v>0</v>
      </c>
      <c r="R47" s="251">
        <v>0</v>
      </c>
      <c r="S47" s="251">
        <v>0</v>
      </c>
      <c r="T47" s="251">
        <v>0</v>
      </c>
      <c r="U47" s="243"/>
      <c r="V47" s="243"/>
      <c r="W47" s="243"/>
      <c r="X47" s="243"/>
    </row>
    <row r="48" spans="1:24">
      <c r="A48" s="243">
        <v>47</v>
      </c>
      <c r="B48" s="243" t="s">
        <v>25</v>
      </c>
      <c r="C48" s="243" t="s">
        <v>24</v>
      </c>
      <c r="D48" s="250" t="s">
        <v>68</v>
      </c>
      <c r="E48" s="251">
        <v>0</v>
      </c>
      <c r="F48" s="251">
        <v>0</v>
      </c>
      <c r="G48" s="251">
        <v>0</v>
      </c>
      <c r="H48" s="251">
        <v>0</v>
      </c>
      <c r="I48" s="251">
        <v>0</v>
      </c>
      <c r="J48" s="251">
        <v>0</v>
      </c>
      <c r="K48" s="251">
        <v>0</v>
      </c>
      <c r="L48" s="251">
        <v>0</v>
      </c>
      <c r="M48" s="251">
        <v>0</v>
      </c>
      <c r="N48" s="251">
        <v>0</v>
      </c>
      <c r="O48" s="251">
        <v>0</v>
      </c>
      <c r="P48" s="251">
        <v>0</v>
      </c>
      <c r="Q48" s="251">
        <v>0</v>
      </c>
      <c r="R48" s="251">
        <v>0</v>
      </c>
      <c r="S48" s="251">
        <v>0</v>
      </c>
      <c r="T48" s="251">
        <v>0</v>
      </c>
      <c r="U48" s="243"/>
      <c r="V48" s="243"/>
      <c r="W48" s="243"/>
      <c r="X48" s="243"/>
    </row>
    <row r="49" spans="1:24">
      <c r="A49" s="243">
        <v>48</v>
      </c>
      <c r="B49" s="243" t="s">
        <v>25</v>
      </c>
      <c r="C49" s="243" t="s">
        <v>24</v>
      </c>
      <c r="D49" s="250" t="s">
        <v>1098</v>
      </c>
      <c r="E49" s="251">
        <v>0</v>
      </c>
      <c r="F49" s="251">
        <v>0</v>
      </c>
      <c r="G49" s="251">
        <v>0</v>
      </c>
      <c r="H49" s="251">
        <v>0</v>
      </c>
      <c r="I49" s="251">
        <v>0</v>
      </c>
      <c r="J49" s="251">
        <v>0</v>
      </c>
      <c r="K49" s="251">
        <v>0</v>
      </c>
      <c r="L49" s="251">
        <v>0</v>
      </c>
      <c r="M49" s="251">
        <v>0</v>
      </c>
      <c r="N49" s="251">
        <v>0</v>
      </c>
      <c r="O49" s="251">
        <v>0</v>
      </c>
      <c r="P49" s="251">
        <v>0</v>
      </c>
      <c r="Q49" s="251">
        <v>0</v>
      </c>
      <c r="R49" s="251">
        <v>0</v>
      </c>
      <c r="S49" s="251">
        <v>0</v>
      </c>
      <c r="T49" s="251">
        <v>0</v>
      </c>
      <c r="U49" s="243"/>
      <c r="V49" s="243"/>
      <c r="W49" s="243"/>
      <c r="X49" s="243"/>
    </row>
    <row r="50" spans="1:24">
      <c r="A50" s="243">
        <v>49</v>
      </c>
      <c r="B50" s="243" t="s">
        <v>25</v>
      </c>
      <c r="C50" s="243" t="s">
        <v>24</v>
      </c>
      <c r="D50" s="250" t="s">
        <v>233</v>
      </c>
      <c r="E50" s="251">
        <v>0</v>
      </c>
      <c r="F50" s="251">
        <v>0</v>
      </c>
      <c r="G50" s="251">
        <v>0</v>
      </c>
      <c r="H50" s="251">
        <v>0</v>
      </c>
      <c r="I50" s="251">
        <v>0</v>
      </c>
      <c r="J50" s="251">
        <v>0</v>
      </c>
      <c r="K50" s="251">
        <v>0</v>
      </c>
      <c r="L50" s="251">
        <v>0</v>
      </c>
      <c r="M50" s="251">
        <v>0</v>
      </c>
      <c r="N50" s="251">
        <v>0</v>
      </c>
      <c r="O50" s="251">
        <v>0</v>
      </c>
      <c r="P50" s="251">
        <v>0</v>
      </c>
      <c r="Q50" s="251">
        <v>0</v>
      </c>
      <c r="R50" s="251">
        <v>0</v>
      </c>
      <c r="S50" s="251">
        <v>0</v>
      </c>
      <c r="T50" s="251">
        <v>0</v>
      </c>
      <c r="U50" s="243"/>
      <c r="V50" s="243"/>
      <c r="W50" s="243"/>
      <c r="X50" s="243"/>
    </row>
    <row r="51" spans="1:24">
      <c r="A51" s="243">
        <v>50</v>
      </c>
      <c r="B51" s="243" t="s">
        <v>23</v>
      </c>
      <c r="C51" s="243" t="s">
        <v>22</v>
      </c>
      <c r="D51" s="250" t="s">
        <v>66</v>
      </c>
      <c r="E51" s="251">
        <v>0</v>
      </c>
      <c r="F51" s="251">
        <v>0</v>
      </c>
      <c r="G51" s="251">
        <v>0</v>
      </c>
      <c r="H51" s="251">
        <v>0</v>
      </c>
      <c r="I51" s="251">
        <v>0</v>
      </c>
      <c r="J51" s="251">
        <v>0</v>
      </c>
      <c r="K51" s="251">
        <v>0</v>
      </c>
      <c r="L51" s="251">
        <v>0</v>
      </c>
      <c r="M51" s="251">
        <v>0</v>
      </c>
      <c r="N51" s="251">
        <v>0</v>
      </c>
      <c r="O51" s="251">
        <v>0</v>
      </c>
      <c r="P51" s="251">
        <v>0</v>
      </c>
      <c r="Q51" s="251">
        <v>0</v>
      </c>
      <c r="R51" s="251">
        <v>0</v>
      </c>
      <c r="S51" s="251">
        <v>0</v>
      </c>
      <c r="T51" s="251">
        <v>0</v>
      </c>
      <c r="U51" s="243"/>
      <c r="V51" s="243"/>
      <c r="W51" s="243"/>
      <c r="X51" s="243"/>
    </row>
    <row r="52" spans="1:24">
      <c r="A52" s="243">
        <v>51</v>
      </c>
      <c r="B52" s="243" t="s">
        <v>23</v>
      </c>
      <c r="C52" s="243" t="s">
        <v>22</v>
      </c>
      <c r="D52" s="250" t="s">
        <v>1095</v>
      </c>
      <c r="E52" s="251">
        <v>0</v>
      </c>
      <c r="F52" s="251">
        <v>0</v>
      </c>
      <c r="G52" s="251">
        <v>0</v>
      </c>
      <c r="H52" s="251">
        <v>0</v>
      </c>
      <c r="I52" s="251">
        <v>0</v>
      </c>
      <c r="J52" s="251">
        <v>0</v>
      </c>
      <c r="K52" s="251">
        <v>0</v>
      </c>
      <c r="L52" s="251">
        <v>0</v>
      </c>
      <c r="M52" s="251">
        <v>0</v>
      </c>
      <c r="N52" s="251">
        <v>0</v>
      </c>
      <c r="O52" s="251">
        <v>0</v>
      </c>
      <c r="P52" s="251">
        <v>0</v>
      </c>
      <c r="Q52" s="251">
        <v>0</v>
      </c>
      <c r="R52" s="251">
        <v>0</v>
      </c>
      <c r="S52" s="251">
        <v>0</v>
      </c>
      <c r="T52" s="251">
        <v>0</v>
      </c>
      <c r="U52" s="243"/>
      <c r="V52" s="243"/>
      <c r="W52" s="243"/>
      <c r="X52" s="243"/>
    </row>
    <row r="53" spans="1:24">
      <c r="A53" s="243">
        <v>52</v>
      </c>
      <c r="B53" s="243" t="s">
        <v>23</v>
      </c>
      <c r="C53" s="243" t="s">
        <v>22</v>
      </c>
      <c r="D53" s="250" t="s">
        <v>1096</v>
      </c>
      <c r="E53" s="251">
        <v>0</v>
      </c>
      <c r="F53" s="251">
        <v>0</v>
      </c>
      <c r="G53" s="251">
        <v>0</v>
      </c>
      <c r="H53" s="251">
        <v>0</v>
      </c>
      <c r="I53" s="251">
        <v>0</v>
      </c>
      <c r="J53" s="251">
        <v>0</v>
      </c>
      <c r="K53" s="251">
        <v>0</v>
      </c>
      <c r="L53" s="251">
        <v>0</v>
      </c>
      <c r="M53" s="251">
        <v>0</v>
      </c>
      <c r="N53" s="251">
        <v>0</v>
      </c>
      <c r="O53" s="251">
        <v>0</v>
      </c>
      <c r="P53" s="251">
        <v>0</v>
      </c>
      <c r="Q53" s="251">
        <v>0</v>
      </c>
      <c r="R53" s="251">
        <v>0</v>
      </c>
      <c r="S53" s="251">
        <v>0</v>
      </c>
      <c r="T53" s="251">
        <v>0</v>
      </c>
      <c r="U53" s="243"/>
      <c r="V53" s="243"/>
      <c r="W53" s="243"/>
      <c r="X53" s="243"/>
    </row>
    <row r="54" spans="1:24">
      <c r="A54" s="243">
        <v>53</v>
      </c>
      <c r="B54" s="243" t="s">
        <v>23</v>
      </c>
      <c r="C54" s="243" t="s">
        <v>22</v>
      </c>
      <c r="D54" s="250" t="s">
        <v>1097</v>
      </c>
      <c r="E54" s="251">
        <v>0</v>
      </c>
      <c r="F54" s="251">
        <v>0</v>
      </c>
      <c r="G54" s="251">
        <v>0</v>
      </c>
      <c r="H54" s="251">
        <v>0</v>
      </c>
      <c r="I54" s="251">
        <v>0</v>
      </c>
      <c r="J54" s="251">
        <v>0</v>
      </c>
      <c r="K54" s="251">
        <v>0</v>
      </c>
      <c r="L54" s="251">
        <v>0</v>
      </c>
      <c r="M54" s="251">
        <v>0</v>
      </c>
      <c r="N54" s="251">
        <v>0</v>
      </c>
      <c r="O54" s="251">
        <v>0</v>
      </c>
      <c r="P54" s="251">
        <v>0</v>
      </c>
      <c r="Q54" s="251">
        <v>0</v>
      </c>
      <c r="R54" s="251">
        <v>0</v>
      </c>
      <c r="S54" s="251">
        <v>0</v>
      </c>
      <c r="T54" s="251">
        <v>0</v>
      </c>
      <c r="U54" s="243"/>
      <c r="V54" s="243"/>
      <c r="W54" s="243"/>
      <c r="X54" s="243"/>
    </row>
    <row r="55" spans="1:24">
      <c r="A55" s="243">
        <v>54</v>
      </c>
      <c r="B55" s="243" t="s">
        <v>23</v>
      </c>
      <c r="C55" s="243" t="s">
        <v>22</v>
      </c>
      <c r="D55" s="250" t="s">
        <v>67</v>
      </c>
      <c r="E55" s="251">
        <v>0</v>
      </c>
      <c r="F55" s="251">
        <v>0</v>
      </c>
      <c r="G55" s="251">
        <v>0</v>
      </c>
      <c r="H55" s="251">
        <v>0</v>
      </c>
      <c r="I55" s="251">
        <v>0</v>
      </c>
      <c r="J55" s="251">
        <v>0</v>
      </c>
      <c r="K55" s="251">
        <v>0</v>
      </c>
      <c r="L55" s="251">
        <v>0</v>
      </c>
      <c r="M55" s="251">
        <v>0</v>
      </c>
      <c r="N55" s="251">
        <v>0</v>
      </c>
      <c r="O55" s="251">
        <v>0</v>
      </c>
      <c r="P55" s="251">
        <v>0</v>
      </c>
      <c r="Q55" s="251">
        <v>0</v>
      </c>
      <c r="R55" s="251">
        <v>0</v>
      </c>
      <c r="S55" s="251">
        <v>0</v>
      </c>
      <c r="T55" s="251">
        <v>0</v>
      </c>
      <c r="U55" s="243"/>
      <c r="V55" s="243"/>
      <c r="W55" s="243"/>
      <c r="X55" s="243"/>
    </row>
    <row r="56" spans="1:24">
      <c r="A56" s="243">
        <v>55</v>
      </c>
      <c r="B56" s="243" t="s">
        <v>23</v>
      </c>
      <c r="C56" s="243" t="s">
        <v>22</v>
      </c>
      <c r="D56" s="250" t="s">
        <v>68</v>
      </c>
      <c r="E56" s="251">
        <v>0</v>
      </c>
      <c r="F56" s="251">
        <v>0</v>
      </c>
      <c r="G56" s="251">
        <v>0</v>
      </c>
      <c r="H56" s="251">
        <v>0</v>
      </c>
      <c r="I56" s="251">
        <v>0</v>
      </c>
      <c r="J56" s="251">
        <v>0</v>
      </c>
      <c r="K56" s="251">
        <v>0</v>
      </c>
      <c r="L56" s="251">
        <v>0</v>
      </c>
      <c r="M56" s="251">
        <v>0</v>
      </c>
      <c r="N56" s="251">
        <v>0</v>
      </c>
      <c r="O56" s="251">
        <v>0</v>
      </c>
      <c r="P56" s="251">
        <v>0</v>
      </c>
      <c r="Q56" s="251">
        <v>0</v>
      </c>
      <c r="R56" s="251">
        <v>0</v>
      </c>
      <c r="S56" s="251">
        <v>0</v>
      </c>
      <c r="T56" s="251">
        <v>0</v>
      </c>
      <c r="U56" s="243"/>
      <c r="V56" s="243"/>
      <c r="W56" s="243"/>
      <c r="X56" s="243"/>
    </row>
    <row r="57" spans="1:24">
      <c r="A57" s="243">
        <v>56</v>
      </c>
      <c r="B57" s="243" t="s">
        <v>23</v>
      </c>
      <c r="C57" s="243" t="s">
        <v>22</v>
      </c>
      <c r="D57" s="250" t="s">
        <v>1098</v>
      </c>
      <c r="E57" s="251">
        <v>0</v>
      </c>
      <c r="F57" s="251">
        <v>0</v>
      </c>
      <c r="G57" s="251">
        <v>0</v>
      </c>
      <c r="H57" s="251">
        <v>0</v>
      </c>
      <c r="I57" s="251">
        <v>0</v>
      </c>
      <c r="J57" s="251">
        <v>0</v>
      </c>
      <c r="K57" s="251">
        <v>0</v>
      </c>
      <c r="L57" s="251">
        <v>0</v>
      </c>
      <c r="M57" s="251">
        <v>0</v>
      </c>
      <c r="N57" s="251">
        <v>0</v>
      </c>
      <c r="O57" s="251">
        <v>0</v>
      </c>
      <c r="P57" s="251">
        <v>0</v>
      </c>
      <c r="Q57" s="251">
        <v>0</v>
      </c>
      <c r="R57" s="251">
        <v>0</v>
      </c>
      <c r="S57" s="251">
        <v>0</v>
      </c>
      <c r="T57" s="251">
        <v>0</v>
      </c>
      <c r="U57" s="243"/>
      <c r="V57" s="243"/>
      <c r="W57" s="243"/>
      <c r="X57" s="243"/>
    </row>
    <row r="58" spans="1:24">
      <c r="A58" s="243">
        <v>57</v>
      </c>
      <c r="B58" s="243" t="s">
        <v>23</v>
      </c>
      <c r="C58" s="243" t="s">
        <v>22</v>
      </c>
      <c r="D58" s="250" t="s">
        <v>233</v>
      </c>
      <c r="E58" s="251">
        <v>0</v>
      </c>
      <c r="F58" s="251">
        <v>0</v>
      </c>
      <c r="G58" s="251">
        <v>0</v>
      </c>
      <c r="H58" s="251">
        <v>0</v>
      </c>
      <c r="I58" s="251">
        <v>0</v>
      </c>
      <c r="J58" s="251">
        <v>0</v>
      </c>
      <c r="K58" s="251">
        <v>0</v>
      </c>
      <c r="L58" s="251">
        <v>0</v>
      </c>
      <c r="M58" s="251">
        <v>0</v>
      </c>
      <c r="N58" s="251">
        <v>0</v>
      </c>
      <c r="O58" s="251">
        <v>0</v>
      </c>
      <c r="P58" s="251">
        <v>0</v>
      </c>
      <c r="Q58" s="251">
        <v>0</v>
      </c>
      <c r="R58" s="251">
        <v>0</v>
      </c>
      <c r="S58" s="251">
        <v>0</v>
      </c>
      <c r="T58" s="251">
        <v>0</v>
      </c>
      <c r="U58" s="243"/>
      <c r="V58" s="243"/>
      <c r="W58" s="243"/>
      <c r="X58" s="243"/>
    </row>
    <row r="59" spans="1:24">
      <c r="A59" s="243">
        <v>58</v>
      </c>
      <c r="B59" s="243" t="s">
        <v>20</v>
      </c>
      <c r="C59" s="243" t="s">
        <v>19</v>
      </c>
      <c r="D59" s="250" t="s">
        <v>66</v>
      </c>
      <c r="E59" s="251">
        <v>0</v>
      </c>
      <c r="F59" s="251">
        <v>0</v>
      </c>
      <c r="G59" s="251">
        <v>0</v>
      </c>
      <c r="H59" s="251">
        <v>0</v>
      </c>
      <c r="I59" s="251">
        <v>0</v>
      </c>
      <c r="J59" s="251">
        <v>0</v>
      </c>
      <c r="K59" s="251">
        <v>0</v>
      </c>
      <c r="L59" s="251">
        <v>0</v>
      </c>
      <c r="M59" s="251">
        <v>0</v>
      </c>
      <c r="N59" s="251">
        <v>0</v>
      </c>
      <c r="O59" s="251">
        <v>0</v>
      </c>
      <c r="P59" s="251">
        <v>0</v>
      </c>
      <c r="Q59" s="251">
        <v>0</v>
      </c>
      <c r="R59" s="251">
        <v>0</v>
      </c>
      <c r="S59" s="251">
        <v>0</v>
      </c>
      <c r="T59" s="251">
        <v>0</v>
      </c>
      <c r="U59" s="243"/>
      <c r="V59" s="243"/>
      <c r="W59" s="243"/>
      <c r="X59" s="243"/>
    </row>
    <row r="60" spans="1:24">
      <c r="A60" s="243">
        <v>59</v>
      </c>
      <c r="B60" s="243" t="s">
        <v>20</v>
      </c>
      <c r="C60" s="243" t="s">
        <v>19</v>
      </c>
      <c r="D60" s="250" t="s">
        <v>1095</v>
      </c>
      <c r="E60" s="251">
        <v>0</v>
      </c>
      <c r="F60" s="251">
        <v>0</v>
      </c>
      <c r="G60" s="251">
        <v>0</v>
      </c>
      <c r="H60" s="251">
        <v>0</v>
      </c>
      <c r="I60" s="251">
        <v>0</v>
      </c>
      <c r="J60" s="251">
        <v>0</v>
      </c>
      <c r="K60" s="251">
        <v>0</v>
      </c>
      <c r="L60" s="251">
        <v>0</v>
      </c>
      <c r="M60" s="251">
        <v>0</v>
      </c>
      <c r="N60" s="251">
        <v>0</v>
      </c>
      <c r="O60" s="251">
        <v>0</v>
      </c>
      <c r="P60" s="251">
        <v>0</v>
      </c>
      <c r="Q60" s="251">
        <v>0</v>
      </c>
      <c r="R60" s="251">
        <v>0</v>
      </c>
      <c r="S60" s="251">
        <v>0</v>
      </c>
      <c r="T60" s="251">
        <v>0</v>
      </c>
      <c r="U60" s="243"/>
      <c r="V60" s="243"/>
      <c r="W60" s="243"/>
      <c r="X60" s="243"/>
    </row>
    <row r="61" spans="1:24">
      <c r="A61" s="243">
        <v>60</v>
      </c>
      <c r="B61" s="243" t="s">
        <v>20</v>
      </c>
      <c r="C61" s="243" t="s">
        <v>19</v>
      </c>
      <c r="D61" s="250" t="s">
        <v>1096</v>
      </c>
      <c r="E61" s="251">
        <v>0</v>
      </c>
      <c r="F61" s="251">
        <v>0</v>
      </c>
      <c r="G61" s="251">
        <v>0</v>
      </c>
      <c r="H61" s="251">
        <v>0</v>
      </c>
      <c r="I61" s="251">
        <v>0</v>
      </c>
      <c r="J61" s="251">
        <v>0</v>
      </c>
      <c r="K61" s="251">
        <v>0</v>
      </c>
      <c r="L61" s="251">
        <v>0</v>
      </c>
      <c r="M61" s="251">
        <v>0</v>
      </c>
      <c r="N61" s="251">
        <v>0</v>
      </c>
      <c r="O61" s="251">
        <v>0</v>
      </c>
      <c r="P61" s="251">
        <v>0</v>
      </c>
      <c r="Q61" s="251">
        <v>0</v>
      </c>
      <c r="R61" s="251">
        <v>0</v>
      </c>
      <c r="S61" s="251">
        <v>0</v>
      </c>
      <c r="T61" s="251">
        <v>0</v>
      </c>
      <c r="U61" s="243"/>
      <c r="V61" s="243"/>
      <c r="W61" s="243"/>
      <c r="X61" s="243"/>
    </row>
    <row r="62" spans="1:24">
      <c r="A62" s="243">
        <v>61</v>
      </c>
      <c r="B62" s="243" t="s">
        <v>20</v>
      </c>
      <c r="C62" s="243" t="s">
        <v>19</v>
      </c>
      <c r="D62" s="250" t="s">
        <v>1097</v>
      </c>
      <c r="E62" s="251">
        <v>0</v>
      </c>
      <c r="F62" s="251">
        <v>0</v>
      </c>
      <c r="G62" s="251">
        <v>0</v>
      </c>
      <c r="H62" s="251">
        <v>0</v>
      </c>
      <c r="I62" s="251">
        <v>0</v>
      </c>
      <c r="J62" s="251">
        <v>0</v>
      </c>
      <c r="K62" s="251">
        <v>0</v>
      </c>
      <c r="L62" s="251">
        <v>0</v>
      </c>
      <c r="M62" s="251">
        <v>0</v>
      </c>
      <c r="N62" s="251">
        <v>0</v>
      </c>
      <c r="O62" s="251">
        <v>0</v>
      </c>
      <c r="P62" s="251">
        <v>0</v>
      </c>
      <c r="Q62" s="251">
        <v>0</v>
      </c>
      <c r="R62" s="251">
        <v>0</v>
      </c>
      <c r="S62" s="251">
        <v>0</v>
      </c>
      <c r="T62" s="251">
        <v>0</v>
      </c>
      <c r="U62" s="243"/>
      <c r="V62" s="243"/>
      <c r="W62" s="243"/>
      <c r="X62" s="243"/>
    </row>
    <row r="63" spans="1:24">
      <c r="A63" s="243">
        <v>62</v>
      </c>
      <c r="B63" s="243" t="s">
        <v>20</v>
      </c>
      <c r="C63" s="243" t="s">
        <v>19</v>
      </c>
      <c r="D63" s="250" t="s">
        <v>67</v>
      </c>
      <c r="E63" s="251">
        <v>0</v>
      </c>
      <c r="F63" s="251">
        <v>0</v>
      </c>
      <c r="G63" s="251">
        <v>0</v>
      </c>
      <c r="H63" s="251">
        <v>0</v>
      </c>
      <c r="I63" s="251">
        <v>0</v>
      </c>
      <c r="J63" s="251">
        <v>0</v>
      </c>
      <c r="K63" s="251">
        <v>0</v>
      </c>
      <c r="L63" s="251">
        <v>0</v>
      </c>
      <c r="M63" s="251">
        <v>0</v>
      </c>
      <c r="N63" s="251">
        <v>0</v>
      </c>
      <c r="O63" s="251">
        <v>0</v>
      </c>
      <c r="P63" s="251">
        <v>0</v>
      </c>
      <c r="Q63" s="251">
        <v>0</v>
      </c>
      <c r="R63" s="251">
        <v>0</v>
      </c>
      <c r="S63" s="251">
        <v>0</v>
      </c>
      <c r="T63" s="251">
        <v>0</v>
      </c>
      <c r="U63" s="243"/>
      <c r="V63" s="243"/>
      <c r="W63" s="243"/>
      <c r="X63" s="243"/>
    </row>
    <row r="64" spans="1:24">
      <c r="A64" s="243">
        <v>63</v>
      </c>
      <c r="B64" s="243" t="s">
        <v>20</v>
      </c>
      <c r="C64" s="243" t="s">
        <v>19</v>
      </c>
      <c r="D64" s="250" t="s">
        <v>68</v>
      </c>
      <c r="E64" s="251">
        <v>0</v>
      </c>
      <c r="F64" s="251">
        <v>0</v>
      </c>
      <c r="G64" s="251">
        <v>0</v>
      </c>
      <c r="H64" s="251">
        <v>0</v>
      </c>
      <c r="I64" s="251">
        <v>0</v>
      </c>
      <c r="J64" s="251">
        <v>0</v>
      </c>
      <c r="K64" s="251">
        <v>0</v>
      </c>
      <c r="L64" s="251">
        <v>0</v>
      </c>
      <c r="M64" s="251">
        <v>0</v>
      </c>
      <c r="N64" s="251">
        <v>0</v>
      </c>
      <c r="O64" s="251">
        <v>0</v>
      </c>
      <c r="P64" s="251">
        <v>0</v>
      </c>
      <c r="Q64" s="251">
        <v>0</v>
      </c>
      <c r="R64" s="251">
        <v>0</v>
      </c>
      <c r="S64" s="251">
        <v>0</v>
      </c>
      <c r="T64" s="251">
        <v>0</v>
      </c>
      <c r="U64" s="243"/>
      <c r="V64" s="243"/>
      <c r="W64" s="243"/>
      <c r="X64" s="243"/>
    </row>
    <row r="65" spans="1:24">
      <c r="A65" s="243">
        <v>64</v>
      </c>
      <c r="B65" s="243" t="s">
        <v>20</v>
      </c>
      <c r="C65" s="243" t="s">
        <v>19</v>
      </c>
      <c r="D65" s="250" t="s">
        <v>1098</v>
      </c>
      <c r="E65" s="251">
        <v>0</v>
      </c>
      <c r="F65" s="251">
        <v>0</v>
      </c>
      <c r="G65" s="251">
        <v>0</v>
      </c>
      <c r="H65" s="251">
        <v>0</v>
      </c>
      <c r="I65" s="251">
        <v>0</v>
      </c>
      <c r="J65" s="251">
        <v>0</v>
      </c>
      <c r="K65" s="251">
        <v>0</v>
      </c>
      <c r="L65" s="251">
        <v>0</v>
      </c>
      <c r="M65" s="251">
        <v>0</v>
      </c>
      <c r="N65" s="251">
        <v>0</v>
      </c>
      <c r="O65" s="251">
        <v>0</v>
      </c>
      <c r="P65" s="251">
        <v>0</v>
      </c>
      <c r="Q65" s="251">
        <v>0</v>
      </c>
      <c r="R65" s="251">
        <v>0</v>
      </c>
      <c r="S65" s="251">
        <v>0</v>
      </c>
      <c r="T65" s="251">
        <v>0</v>
      </c>
      <c r="U65" s="243"/>
      <c r="V65" s="243"/>
      <c r="W65" s="243"/>
      <c r="X65" s="243"/>
    </row>
    <row r="66" spans="1:24">
      <c r="A66" s="243">
        <v>65</v>
      </c>
      <c r="B66" s="243" t="s">
        <v>20</v>
      </c>
      <c r="C66" s="243" t="s">
        <v>19</v>
      </c>
      <c r="D66" s="250" t="s">
        <v>233</v>
      </c>
      <c r="E66" s="251">
        <v>0</v>
      </c>
      <c r="F66" s="251">
        <v>0</v>
      </c>
      <c r="G66" s="251">
        <v>0</v>
      </c>
      <c r="H66" s="251">
        <v>0</v>
      </c>
      <c r="I66" s="251">
        <v>0</v>
      </c>
      <c r="J66" s="251">
        <v>0</v>
      </c>
      <c r="K66" s="251">
        <v>0</v>
      </c>
      <c r="L66" s="251">
        <v>0</v>
      </c>
      <c r="M66" s="251">
        <v>0</v>
      </c>
      <c r="N66" s="251">
        <v>0</v>
      </c>
      <c r="O66" s="251">
        <v>0</v>
      </c>
      <c r="P66" s="251">
        <v>0</v>
      </c>
      <c r="Q66" s="251">
        <v>0</v>
      </c>
      <c r="R66" s="251">
        <v>0</v>
      </c>
      <c r="S66" s="251">
        <v>0</v>
      </c>
      <c r="T66" s="251">
        <v>0</v>
      </c>
      <c r="U66" s="243"/>
      <c r="V66" s="243"/>
      <c r="W66" s="243"/>
      <c r="X66" s="243"/>
    </row>
    <row r="67" spans="1:24">
      <c r="A67" s="243">
        <v>66</v>
      </c>
      <c r="B67" s="243" t="s">
        <v>233</v>
      </c>
      <c r="C67" s="243" t="s">
        <v>233</v>
      </c>
      <c r="D67" s="250" t="s">
        <v>66</v>
      </c>
      <c r="E67" s="251">
        <v>0</v>
      </c>
      <c r="F67" s="251">
        <v>0</v>
      </c>
      <c r="G67" s="251">
        <v>0</v>
      </c>
      <c r="H67" s="251">
        <v>0</v>
      </c>
      <c r="I67" s="251">
        <v>0</v>
      </c>
      <c r="J67" s="251">
        <v>0</v>
      </c>
      <c r="K67" s="251">
        <v>0</v>
      </c>
      <c r="L67" s="251">
        <v>0</v>
      </c>
      <c r="M67" s="251">
        <v>0</v>
      </c>
      <c r="N67" s="251">
        <v>0</v>
      </c>
      <c r="O67" s="251">
        <v>0</v>
      </c>
      <c r="P67" s="251">
        <v>0</v>
      </c>
      <c r="Q67" s="251">
        <v>0</v>
      </c>
      <c r="R67" s="251">
        <v>0</v>
      </c>
      <c r="S67" s="251">
        <v>0</v>
      </c>
      <c r="T67" s="251">
        <v>0</v>
      </c>
      <c r="U67" s="243"/>
      <c r="V67" s="243"/>
      <c r="W67" s="243"/>
      <c r="X67" s="243"/>
    </row>
    <row r="68" spans="1:24">
      <c r="A68" s="243">
        <v>67</v>
      </c>
      <c r="B68" s="243" t="s">
        <v>233</v>
      </c>
      <c r="C68" s="243" t="s">
        <v>233</v>
      </c>
      <c r="D68" s="250" t="s">
        <v>1095</v>
      </c>
      <c r="E68" s="251">
        <v>0</v>
      </c>
      <c r="F68" s="251">
        <v>0</v>
      </c>
      <c r="G68" s="251">
        <v>0</v>
      </c>
      <c r="H68" s="251">
        <v>0</v>
      </c>
      <c r="I68" s="251">
        <v>0</v>
      </c>
      <c r="J68" s="251">
        <v>0</v>
      </c>
      <c r="K68" s="251">
        <v>0</v>
      </c>
      <c r="L68" s="251">
        <v>0</v>
      </c>
      <c r="M68" s="251">
        <v>0</v>
      </c>
      <c r="N68" s="251">
        <v>0</v>
      </c>
      <c r="O68" s="251">
        <v>0</v>
      </c>
      <c r="P68" s="251">
        <v>0</v>
      </c>
      <c r="Q68" s="251">
        <v>0</v>
      </c>
      <c r="R68" s="251">
        <v>0</v>
      </c>
      <c r="S68" s="251">
        <v>0</v>
      </c>
      <c r="T68" s="251">
        <v>0</v>
      </c>
      <c r="U68" s="243"/>
      <c r="V68" s="243"/>
      <c r="W68" s="243"/>
      <c r="X68" s="243"/>
    </row>
    <row r="69" spans="1:24">
      <c r="A69" s="243">
        <v>68</v>
      </c>
      <c r="B69" s="243" t="s">
        <v>233</v>
      </c>
      <c r="C69" s="243" t="s">
        <v>233</v>
      </c>
      <c r="D69" s="250" t="s">
        <v>1096</v>
      </c>
      <c r="E69" s="251">
        <v>0</v>
      </c>
      <c r="F69" s="251">
        <v>0</v>
      </c>
      <c r="G69" s="251">
        <v>0</v>
      </c>
      <c r="H69" s="251">
        <v>0</v>
      </c>
      <c r="I69" s="251">
        <v>0</v>
      </c>
      <c r="J69" s="251">
        <v>0</v>
      </c>
      <c r="K69" s="251">
        <v>0</v>
      </c>
      <c r="L69" s="251">
        <v>0</v>
      </c>
      <c r="M69" s="251">
        <v>0</v>
      </c>
      <c r="N69" s="251">
        <v>0</v>
      </c>
      <c r="O69" s="251">
        <v>0</v>
      </c>
      <c r="P69" s="251">
        <v>0</v>
      </c>
      <c r="Q69" s="251">
        <v>0</v>
      </c>
      <c r="R69" s="251">
        <v>0</v>
      </c>
      <c r="S69" s="251">
        <v>0</v>
      </c>
      <c r="T69" s="251">
        <v>0</v>
      </c>
      <c r="U69" s="243"/>
      <c r="V69" s="243"/>
      <c r="W69" s="243"/>
      <c r="X69" s="243"/>
    </row>
    <row r="70" spans="1:24">
      <c r="A70" s="243">
        <v>69</v>
      </c>
      <c r="B70" s="243" t="s">
        <v>233</v>
      </c>
      <c r="C70" s="243" t="s">
        <v>233</v>
      </c>
      <c r="D70" s="250" t="s">
        <v>1097</v>
      </c>
      <c r="E70" s="251">
        <v>0</v>
      </c>
      <c r="F70" s="251">
        <v>0</v>
      </c>
      <c r="G70" s="251">
        <v>0</v>
      </c>
      <c r="H70" s="251">
        <v>0</v>
      </c>
      <c r="I70" s="251">
        <v>0</v>
      </c>
      <c r="J70" s="251">
        <v>0</v>
      </c>
      <c r="K70" s="251">
        <v>0</v>
      </c>
      <c r="L70" s="251">
        <v>0</v>
      </c>
      <c r="M70" s="251">
        <v>0</v>
      </c>
      <c r="N70" s="251">
        <v>0</v>
      </c>
      <c r="O70" s="251">
        <v>0</v>
      </c>
      <c r="P70" s="251">
        <v>0</v>
      </c>
      <c r="Q70" s="251">
        <v>0</v>
      </c>
      <c r="R70" s="251">
        <v>0</v>
      </c>
      <c r="S70" s="251">
        <v>0</v>
      </c>
      <c r="T70" s="251">
        <v>0</v>
      </c>
      <c r="U70" s="243"/>
      <c r="V70" s="243"/>
      <c r="W70" s="243"/>
      <c r="X70" s="243"/>
    </row>
    <row r="71" spans="1:24">
      <c r="A71" s="243">
        <v>70</v>
      </c>
      <c r="B71" s="243" t="s">
        <v>233</v>
      </c>
      <c r="C71" s="243" t="s">
        <v>233</v>
      </c>
      <c r="D71" s="250" t="s">
        <v>67</v>
      </c>
      <c r="E71" s="251">
        <v>0</v>
      </c>
      <c r="F71" s="251">
        <v>0</v>
      </c>
      <c r="G71" s="251">
        <v>0</v>
      </c>
      <c r="H71" s="251">
        <v>0</v>
      </c>
      <c r="I71" s="251">
        <v>0</v>
      </c>
      <c r="J71" s="251">
        <v>0</v>
      </c>
      <c r="K71" s="251">
        <v>0</v>
      </c>
      <c r="L71" s="251">
        <v>0</v>
      </c>
      <c r="M71" s="251">
        <v>0</v>
      </c>
      <c r="N71" s="251">
        <v>0</v>
      </c>
      <c r="O71" s="251">
        <v>0</v>
      </c>
      <c r="P71" s="251">
        <v>0</v>
      </c>
      <c r="Q71" s="251">
        <v>0</v>
      </c>
      <c r="R71" s="251">
        <v>0</v>
      </c>
      <c r="S71" s="251">
        <v>0</v>
      </c>
      <c r="T71" s="251">
        <v>0</v>
      </c>
      <c r="U71" s="243"/>
      <c r="V71" s="243"/>
      <c r="W71" s="243"/>
      <c r="X71" s="243"/>
    </row>
    <row r="72" spans="1:24">
      <c r="A72" s="243">
        <v>71</v>
      </c>
      <c r="B72" s="243" t="s">
        <v>233</v>
      </c>
      <c r="C72" s="243" t="s">
        <v>233</v>
      </c>
      <c r="D72" s="250" t="s">
        <v>68</v>
      </c>
      <c r="E72" s="251">
        <v>0</v>
      </c>
      <c r="F72" s="251">
        <v>0</v>
      </c>
      <c r="G72" s="251">
        <v>0</v>
      </c>
      <c r="H72" s="251">
        <v>0</v>
      </c>
      <c r="I72" s="251">
        <v>0</v>
      </c>
      <c r="J72" s="251">
        <v>0</v>
      </c>
      <c r="K72" s="251">
        <v>0</v>
      </c>
      <c r="L72" s="251">
        <v>0</v>
      </c>
      <c r="M72" s="251">
        <v>0</v>
      </c>
      <c r="N72" s="251">
        <v>0</v>
      </c>
      <c r="O72" s="251">
        <v>0</v>
      </c>
      <c r="P72" s="251">
        <v>0</v>
      </c>
      <c r="Q72" s="251">
        <v>0</v>
      </c>
      <c r="R72" s="251">
        <v>0</v>
      </c>
      <c r="S72" s="251">
        <v>0</v>
      </c>
      <c r="T72" s="251">
        <v>0</v>
      </c>
      <c r="U72" s="243"/>
      <c r="V72" s="243"/>
      <c r="W72" s="243"/>
      <c r="X72" s="243"/>
    </row>
    <row r="73" spans="1:24">
      <c r="A73" s="243">
        <v>72</v>
      </c>
      <c r="B73" s="243" t="s">
        <v>233</v>
      </c>
      <c r="C73" s="243" t="s">
        <v>233</v>
      </c>
      <c r="D73" s="250" t="s">
        <v>1098</v>
      </c>
      <c r="E73" s="251">
        <v>0</v>
      </c>
      <c r="F73" s="251">
        <v>0</v>
      </c>
      <c r="G73" s="251">
        <v>0</v>
      </c>
      <c r="H73" s="251">
        <v>0</v>
      </c>
      <c r="I73" s="251">
        <v>0</v>
      </c>
      <c r="J73" s="251">
        <v>0</v>
      </c>
      <c r="K73" s="251">
        <v>0</v>
      </c>
      <c r="L73" s="251">
        <v>0</v>
      </c>
      <c r="M73" s="251">
        <v>0</v>
      </c>
      <c r="N73" s="251">
        <v>0</v>
      </c>
      <c r="O73" s="251">
        <v>0</v>
      </c>
      <c r="P73" s="251">
        <v>0</v>
      </c>
      <c r="Q73" s="251">
        <v>0</v>
      </c>
      <c r="R73" s="251">
        <v>0</v>
      </c>
      <c r="S73" s="251">
        <v>0</v>
      </c>
      <c r="T73" s="251">
        <v>0</v>
      </c>
      <c r="U73" s="243"/>
      <c r="V73" s="243"/>
      <c r="W73" s="243"/>
      <c r="X73" s="243"/>
    </row>
    <row r="74" spans="1:24">
      <c r="A74" s="243">
        <v>73</v>
      </c>
      <c r="B74" s="243" t="s">
        <v>233</v>
      </c>
      <c r="C74" s="243" t="s">
        <v>233</v>
      </c>
      <c r="D74" s="250" t="s">
        <v>233</v>
      </c>
      <c r="E74" s="251">
        <v>0</v>
      </c>
      <c r="F74" s="251">
        <v>0</v>
      </c>
      <c r="G74" s="251">
        <v>0</v>
      </c>
      <c r="H74" s="251">
        <v>0</v>
      </c>
      <c r="I74" s="251">
        <v>0</v>
      </c>
      <c r="J74" s="251">
        <v>0</v>
      </c>
      <c r="K74" s="251">
        <v>0</v>
      </c>
      <c r="L74" s="251">
        <v>0</v>
      </c>
      <c r="M74" s="251">
        <v>0</v>
      </c>
      <c r="N74" s="251">
        <v>0</v>
      </c>
      <c r="O74" s="251">
        <v>0</v>
      </c>
      <c r="P74" s="251">
        <v>0</v>
      </c>
      <c r="Q74" s="251">
        <v>0</v>
      </c>
      <c r="R74" s="251">
        <v>0</v>
      </c>
      <c r="S74" s="251">
        <v>0</v>
      </c>
      <c r="T74" s="251">
        <v>0</v>
      </c>
      <c r="U74" s="243"/>
      <c r="V74" s="243"/>
      <c r="W74" s="243"/>
      <c r="X74" s="243"/>
    </row>
    <row r="75" spans="1:24">
      <c r="A75" s="243">
        <v>74</v>
      </c>
      <c r="B75" s="243" t="s">
        <v>36</v>
      </c>
      <c r="C75" s="243" t="s">
        <v>36</v>
      </c>
      <c r="D75" s="250" t="s">
        <v>66</v>
      </c>
      <c r="E75" s="251">
        <v>0</v>
      </c>
      <c r="F75" s="251">
        <v>0</v>
      </c>
      <c r="G75" s="251">
        <v>0</v>
      </c>
      <c r="H75" s="251">
        <v>0</v>
      </c>
      <c r="I75" s="251">
        <v>0</v>
      </c>
      <c r="J75" s="251">
        <v>0</v>
      </c>
      <c r="K75" s="251">
        <v>0</v>
      </c>
      <c r="L75" s="251">
        <v>0</v>
      </c>
      <c r="M75" s="251">
        <v>0</v>
      </c>
      <c r="N75" s="251">
        <v>0</v>
      </c>
      <c r="O75" s="251">
        <v>0</v>
      </c>
      <c r="P75" s="251">
        <v>0</v>
      </c>
      <c r="Q75" s="251">
        <v>0</v>
      </c>
      <c r="R75" s="251">
        <v>0</v>
      </c>
      <c r="S75" s="251">
        <v>0</v>
      </c>
      <c r="T75" s="251">
        <v>0</v>
      </c>
      <c r="U75" s="243"/>
      <c r="V75" s="243"/>
      <c r="W75" s="243"/>
      <c r="X75" s="243"/>
    </row>
    <row r="76" spans="1:24">
      <c r="A76" s="243">
        <v>75</v>
      </c>
      <c r="B76" s="243" t="s">
        <v>36</v>
      </c>
      <c r="C76" s="243" t="s">
        <v>36</v>
      </c>
      <c r="D76" s="250" t="s">
        <v>1095</v>
      </c>
      <c r="E76" s="251">
        <v>0</v>
      </c>
      <c r="F76" s="251">
        <v>0</v>
      </c>
      <c r="G76" s="251">
        <v>0</v>
      </c>
      <c r="H76" s="251">
        <v>0</v>
      </c>
      <c r="I76" s="251">
        <v>0</v>
      </c>
      <c r="J76" s="251">
        <v>0</v>
      </c>
      <c r="K76" s="251">
        <v>0</v>
      </c>
      <c r="L76" s="251">
        <v>0</v>
      </c>
      <c r="M76" s="251">
        <v>0</v>
      </c>
      <c r="N76" s="251">
        <v>0</v>
      </c>
      <c r="O76" s="251">
        <v>0</v>
      </c>
      <c r="P76" s="251">
        <v>0</v>
      </c>
      <c r="Q76" s="251">
        <v>0</v>
      </c>
      <c r="R76" s="251">
        <v>0</v>
      </c>
      <c r="S76" s="251">
        <v>0</v>
      </c>
      <c r="T76" s="251">
        <v>0</v>
      </c>
      <c r="U76" s="243"/>
      <c r="V76" s="243"/>
      <c r="W76" s="243"/>
      <c r="X76" s="243"/>
    </row>
    <row r="77" spans="1:24">
      <c r="A77" s="243">
        <v>76</v>
      </c>
      <c r="B77" s="243" t="s">
        <v>36</v>
      </c>
      <c r="C77" s="243" t="s">
        <v>36</v>
      </c>
      <c r="D77" s="250" t="s">
        <v>1096</v>
      </c>
      <c r="E77" s="251">
        <v>0</v>
      </c>
      <c r="F77" s="251">
        <v>0</v>
      </c>
      <c r="G77" s="251">
        <v>0</v>
      </c>
      <c r="H77" s="251">
        <v>0</v>
      </c>
      <c r="I77" s="251">
        <v>0</v>
      </c>
      <c r="J77" s="251">
        <v>0</v>
      </c>
      <c r="K77" s="251">
        <v>0</v>
      </c>
      <c r="L77" s="251">
        <v>0</v>
      </c>
      <c r="M77" s="251">
        <v>0</v>
      </c>
      <c r="N77" s="251">
        <v>0</v>
      </c>
      <c r="O77" s="251">
        <v>0</v>
      </c>
      <c r="P77" s="251">
        <v>0</v>
      </c>
      <c r="Q77" s="251">
        <v>0</v>
      </c>
      <c r="R77" s="251">
        <v>0</v>
      </c>
      <c r="S77" s="251">
        <v>0</v>
      </c>
      <c r="T77" s="251">
        <v>0</v>
      </c>
      <c r="U77" s="243"/>
      <c r="V77" s="243"/>
      <c r="W77" s="243"/>
      <c r="X77" s="243"/>
    </row>
    <row r="78" spans="1:24">
      <c r="A78" s="243">
        <v>77</v>
      </c>
      <c r="B78" s="243" t="s">
        <v>36</v>
      </c>
      <c r="C78" s="243" t="s">
        <v>36</v>
      </c>
      <c r="D78" s="250" t="s">
        <v>1097</v>
      </c>
      <c r="E78" s="251">
        <v>0</v>
      </c>
      <c r="F78" s="251">
        <v>0</v>
      </c>
      <c r="G78" s="251">
        <v>0</v>
      </c>
      <c r="H78" s="251">
        <v>0</v>
      </c>
      <c r="I78" s="251">
        <v>0</v>
      </c>
      <c r="J78" s="251">
        <v>0</v>
      </c>
      <c r="K78" s="251">
        <v>0</v>
      </c>
      <c r="L78" s="251">
        <v>0</v>
      </c>
      <c r="M78" s="251">
        <v>0</v>
      </c>
      <c r="N78" s="251">
        <v>0</v>
      </c>
      <c r="O78" s="251">
        <v>0</v>
      </c>
      <c r="P78" s="251">
        <v>0</v>
      </c>
      <c r="Q78" s="251">
        <v>0</v>
      </c>
      <c r="R78" s="251">
        <v>0</v>
      </c>
      <c r="S78" s="251">
        <v>0</v>
      </c>
      <c r="T78" s="251">
        <v>0</v>
      </c>
      <c r="U78" s="243"/>
      <c r="V78" s="243"/>
      <c r="W78" s="243"/>
      <c r="X78" s="243"/>
    </row>
    <row r="79" spans="1:24">
      <c r="A79" s="243">
        <v>78</v>
      </c>
      <c r="B79" s="243" t="s">
        <v>36</v>
      </c>
      <c r="C79" s="243" t="s">
        <v>36</v>
      </c>
      <c r="D79" s="250" t="s">
        <v>67</v>
      </c>
      <c r="E79" s="251">
        <v>0</v>
      </c>
      <c r="F79" s="251">
        <v>0</v>
      </c>
      <c r="G79" s="251">
        <v>0</v>
      </c>
      <c r="H79" s="251">
        <v>0</v>
      </c>
      <c r="I79" s="251">
        <v>0</v>
      </c>
      <c r="J79" s="251">
        <v>0</v>
      </c>
      <c r="K79" s="251">
        <v>0</v>
      </c>
      <c r="L79" s="251">
        <v>0</v>
      </c>
      <c r="M79" s="251">
        <v>0</v>
      </c>
      <c r="N79" s="251">
        <v>0</v>
      </c>
      <c r="O79" s="251">
        <v>0</v>
      </c>
      <c r="P79" s="251">
        <v>0</v>
      </c>
      <c r="Q79" s="251">
        <v>0</v>
      </c>
      <c r="R79" s="251">
        <v>0</v>
      </c>
      <c r="S79" s="251">
        <v>0</v>
      </c>
      <c r="T79" s="251">
        <v>0</v>
      </c>
      <c r="U79" s="243"/>
      <c r="V79" s="243"/>
      <c r="W79" s="243"/>
      <c r="X79" s="243"/>
    </row>
    <row r="80" spans="1:24">
      <c r="A80" s="243">
        <v>79</v>
      </c>
      <c r="B80" s="243" t="s">
        <v>36</v>
      </c>
      <c r="C80" s="243" t="s">
        <v>36</v>
      </c>
      <c r="D80" s="250" t="s">
        <v>68</v>
      </c>
      <c r="E80" s="251">
        <v>0</v>
      </c>
      <c r="F80" s="251">
        <v>0</v>
      </c>
      <c r="G80" s="251">
        <v>0</v>
      </c>
      <c r="H80" s="251">
        <v>0</v>
      </c>
      <c r="I80" s="251">
        <v>0</v>
      </c>
      <c r="J80" s="251">
        <v>0</v>
      </c>
      <c r="K80" s="251">
        <v>0</v>
      </c>
      <c r="L80" s="251">
        <v>0</v>
      </c>
      <c r="M80" s="251">
        <v>0</v>
      </c>
      <c r="N80" s="251">
        <v>0</v>
      </c>
      <c r="O80" s="251">
        <v>0</v>
      </c>
      <c r="P80" s="251">
        <v>0</v>
      </c>
      <c r="Q80" s="251">
        <v>0</v>
      </c>
      <c r="R80" s="251">
        <v>0</v>
      </c>
      <c r="S80" s="251">
        <v>0</v>
      </c>
      <c r="T80" s="251">
        <v>0</v>
      </c>
      <c r="U80" s="243"/>
      <c r="V80" s="243"/>
      <c r="W80" s="243"/>
      <c r="X80" s="243"/>
    </row>
    <row r="81" spans="1:24">
      <c r="A81" s="243">
        <v>80</v>
      </c>
      <c r="B81" s="243" t="s">
        <v>36</v>
      </c>
      <c r="C81" s="243" t="s">
        <v>36</v>
      </c>
      <c r="D81" s="250" t="s">
        <v>1098</v>
      </c>
      <c r="E81" s="251">
        <v>0</v>
      </c>
      <c r="F81" s="251">
        <v>0</v>
      </c>
      <c r="G81" s="251">
        <v>0</v>
      </c>
      <c r="H81" s="251">
        <v>0</v>
      </c>
      <c r="I81" s="251">
        <v>0</v>
      </c>
      <c r="J81" s="251">
        <v>0</v>
      </c>
      <c r="K81" s="251">
        <v>0</v>
      </c>
      <c r="L81" s="251">
        <v>0</v>
      </c>
      <c r="M81" s="251">
        <v>0</v>
      </c>
      <c r="N81" s="251">
        <v>0</v>
      </c>
      <c r="O81" s="251">
        <v>0</v>
      </c>
      <c r="P81" s="251">
        <v>0</v>
      </c>
      <c r="Q81" s="251">
        <v>0</v>
      </c>
      <c r="R81" s="251">
        <v>0</v>
      </c>
      <c r="S81" s="251">
        <v>0</v>
      </c>
      <c r="T81" s="251">
        <v>0</v>
      </c>
      <c r="U81" s="243"/>
      <c r="V81" s="243"/>
      <c r="W81" s="243"/>
      <c r="X81" s="243"/>
    </row>
    <row r="82" spans="1:24">
      <c r="A82" s="243">
        <v>81</v>
      </c>
      <c r="B82" s="243" t="s">
        <v>36</v>
      </c>
      <c r="C82" s="243" t="s">
        <v>36</v>
      </c>
      <c r="D82" s="250" t="s">
        <v>233</v>
      </c>
      <c r="E82" s="251">
        <v>0</v>
      </c>
      <c r="F82" s="251">
        <v>0</v>
      </c>
      <c r="G82" s="251">
        <v>0</v>
      </c>
      <c r="H82" s="251">
        <v>0</v>
      </c>
      <c r="I82" s="251">
        <v>0</v>
      </c>
      <c r="J82" s="251">
        <v>0</v>
      </c>
      <c r="K82" s="251">
        <v>0</v>
      </c>
      <c r="L82" s="251">
        <v>0</v>
      </c>
      <c r="M82" s="251">
        <v>0</v>
      </c>
      <c r="N82" s="251">
        <v>0</v>
      </c>
      <c r="O82" s="251">
        <v>0</v>
      </c>
      <c r="P82" s="251">
        <v>0</v>
      </c>
      <c r="Q82" s="251">
        <v>0</v>
      </c>
      <c r="R82" s="251">
        <v>0</v>
      </c>
      <c r="S82" s="251">
        <v>0</v>
      </c>
      <c r="T82" s="251">
        <v>0</v>
      </c>
      <c r="U82" s="243"/>
      <c r="V82" s="243"/>
      <c r="W82" s="243"/>
      <c r="X82" s="243"/>
    </row>
    <row r="83" spans="1:24">
      <c r="A83" s="243">
        <v>82</v>
      </c>
      <c r="B83" s="243" t="s">
        <v>34</v>
      </c>
      <c r="C83" s="243" t="s">
        <v>886</v>
      </c>
      <c r="D83" s="250" t="s">
        <v>66</v>
      </c>
      <c r="E83" s="251">
        <v>0</v>
      </c>
      <c r="F83" s="251">
        <v>0</v>
      </c>
      <c r="G83" s="251">
        <v>0</v>
      </c>
      <c r="H83" s="251">
        <v>0</v>
      </c>
      <c r="I83" s="251">
        <v>0</v>
      </c>
      <c r="J83" s="251">
        <v>0</v>
      </c>
      <c r="K83" s="251">
        <v>0</v>
      </c>
      <c r="L83" s="251">
        <v>0</v>
      </c>
      <c r="M83" s="251">
        <v>0</v>
      </c>
      <c r="N83" s="251">
        <v>0</v>
      </c>
      <c r="O83" s="251">
        <v>0</v>
      </c>
      <c r="P83" s="251">
        <v>0</v>
      </c>
      <c r="Q83" s="251">
        <v>0</v>
      </c>
      <c r="R83" s="251">
        <v>0</v>
      </c>
      <c r="S83" s="251">
        <v>0</v>
      </c>
      <c r="T83" s="251">
        <v>0</v>
      </c>
      <c r="U83" s="243"/>
      <c r="V83" s="243"/>
      <c r="W83" s="243"/>
      <c r="X83" s="243"/>
    </row>
    <row r="84" spans="1:24">
      <c r="A84" s="243">
        <v>83</v>
      </c>
      <c r="B84" s="243" t="s">
        <v>34</v>
      </c>
      <c r="C84" s="243" t="s">
        <v>886</v>
      </c>
      <c r="D84" s="250" t="s">
        <v>1095</v>
      </c>
      <c r="E84" s="251">
        <v>0</v>
      </c>
      <c r="F84" s="251">
        <v>0</v>
      </c>
      <c r="G84" s="251">
        <v>0</v>
      </c>
      <c r="H84" s="251">
        <v>0</v>
      </c>
      <c r="I84" s="251">
        <v>0</v>
      </c>
      <c r="J84" s="251">
        <v>0</v>
      </c>
      <c r="K84" s="251">
        <v>0</v>
      </c>
      <c r="L84" s="251">
        <v>0</v>
      </c>
      <c r="M84" s="251">
        <v>0</v>
      </c>
      <c r="N84" s="251">
        <v>0</v>
      </c>
      <c r="O84" s="251">
        <v>0</v>
      </c>
      <c r="P84" s="251">
        <v>0</v>
      </c>
      <c r="Q84" s="251">
        <v>0</v>
      </c>
      <c r="R84" s="251">
        <v>0</v>
      </c>
      <c r="S84" s="251">
        <v>0</v>
      </c>
      <c r="T84" s="251">
        <v>0</v>
      </c>
      <c r="U84" s="243"/>
      <c r="V84" s="243"/>
      <c r="W84" s="243"/>
      <c r="X84" s="243"/>
    </row>
    <row r="85" spans="1:24">
      <c r="A85" s="243">
        <v>84</v>
      </c>
      <c r="B85" s="243" t="s">
        <v>34</v>
      </c>
      <c r="C85" s="243" t="s">
        <v>886</v>
      </c>
      <c r="D85" s="250" t="s">
        <v>1096</v>
      </c>
      <c r="E85" s="251">
        <v>0</v>
      </c>
      <c r="F85" s="251">
        <v>0</v>
      </c>
      <c r="G85" s="251">
        <v>0</v>
      </c>
      <c r="H85" s="251">
        <v>0</v>
      </c>
      <c r="I85" s="251">
        <v>0</v>
      </c>
      <c r="J85" s="251">
        <v>0</v>
      </c>
      <c r="K85" s="251">
        <v>0</v>
      </c>
      <c r="L85" s="251">
        <v>0</v>
      </c>
      <c r="M85" s="251">
        <v>0</v>
      </c>
      <c r="N85" s="251">
        <v>0</v>
      </c>
      <c r="O85" s="251">
        <v>0</v>
      </c>
      <c r="P85" s="251">
        <v>0</v>
      </c>
      <c r="Q85" s="251">
        <v>0</v>
      </c>
      <c r="R85" s="251">
        <v>0</v>
      </c>
      <c r="S85" s="251">
        <v>0</v>
      </c>
      <c r="T85" s="251">
        <v>0</v>
      </c>
      <c r="U85" s="243"/>
      <c r="V85" s="243"/>
      <c r="W85" s="243"/>
      <c r="X85" s="243"/>
    </row>
    <row r="86" spans="1:24">
      <c r="A86" s="243">
        <v>85</v>
      </c>
      <c r="B86" s="243" t="s">
        <v>34</v>
      </c>
      <c r="C86" s="243" t="s">
        <v>886</v>
      </c>
      <c r="D86" s="250" t="s">
        <v>1097</v>
      </c>
      <c r="E86" s="251">
        <v>0</v>
      </c>
      <c r="F86" s="251">
        <v>0</v>
      </c>
      <c r="G86" s="251">
        <v>0</v>
      </c>
      <c r="H86" s="251">
        <v>0</v>
      </c>
      <c r="I86" s="251">
        <v>0</v>
      </c>
      <c r="J86" s="251">
        <v>0</v>
      </c>
      <c r="K86" s="251">
        <v>0</v>
      </c>
      <c r="L86" s="251">
        <v>0</v>
      </c>
      <c r="M86" s="251">
        <v>0</v>
      </c>
      <c r="N86" s="251">
        <v>0</v>
      </c>
      <c r="O86" s="251">
        <v>0</v>
      </c>
      <c r="P86" s="251">
        <v>0</v>
      </c>
      <c r="Q86" s="251">
        <v>0</v>
      </c>
      <c r="R86" s="251">
        <v>0</v>
      </c>
      <c r="S86" s="251">
        <v>0</v>
      </c>
      <c r="T86" s="251">
        <v>0</v>
      </c>
      <c r="U86" s="243"/>
      <c r="V86" s="243"/>
      <c r="W86" s="243"/>
      <c r="X86" s="243"/>
    </row>
    <row r="87" spans="1:24">
      <c r="A87" s="243">
        <v>86</v>
      </c>
      <c r="B87" s="243" t="s">
        <v>34</v>
      </c>
      <c r="C87" s="243" t="s">
        <v>886</v>
      </c>
      <c r="D87" s="250" t="s">
        <v>67</v>
      </c>
      <c r="E87" s="251">
        <v>0</v>
      </c>
      <c r="F87" s="251">
        <v>0</v>
      </c>
      <c r="G87" s="251">
        <v>0</v>
      </c>
      <c r="H87" s="251">
        <v>0</v>
      </c>
      <c r="I87" s="251">
        <v>0</v>
      </c>
      <c r="J87" s="251">
        <v>0</v>
      </c>
      <c r="K87" s="251">
        <v>0</v>
      </c>
      <c r="L87" s="251">
        <v>0</v>
      </c>
      <c r="M87" s="251">
        <v>0</v>
      </c>
      <c r="N87" s="251">
        <v>0</v>
      </c>
      <c r="O87" s="251">
        <v>0</v>
      </c>
      <c r="P87" s="251">
        <v>0</v>
      </c>
      <c r="Q87" s="251">
        <v>0</v>
      </c>
      <c r="R87" s="251">
        <v>0</v>
      </c>
      <c r="S87" s="251">
        <v>0</v>
      </c>
      <c r="T87" s="251">
        <v>0</v>
      </c>
      <c r="U87" s="243"/>
      <c r="V87" s="243"/>
      <c r="W87" s="243"/>
      <c r="X87" s="243"/>
    </row>
    <row r="88" spans="1:24">
      <c r="A88" s="243">
        <v>87</v>
      </c>
      <c r="B88" s="243" t="s">
        <v>34</v>
      </c>
      <c r="C88" s="243" t="s">
        <v>886</v>
      </c>
      <c r="D88" s="250" t="s">
        <v>68</v>
      </c>
      <c r="E88" s="251">
        <v>0</v>
      </c>
      <c r="F88" s="251">
        <v>0</v>
      </c>
      <c r="G88" s="251">
        <v>0</v>
      </c>
      <c r="H88" s="251">
        <v>0</v>
      </c>
      <c r="I88" s="251">
        <v>0</v>
      </c>
      <c r="J88" s="251">
        <v>0</v>
      </c>
      <c r="K88" s="251">
        <v>0</v>
      </c>
      <c r="L88" s="251">
        <v>0</v>
      </c>
      <c r="M88" s="251">
        <v>0</v>
      </c>
      <c r="N88" s="251">
        <v>0</v>
      </c>
      <c r="O88" s="251">
        <v>0</v>
      </c>
      <c r="P88" s="251">
        <v>0</v>
      </c>
      <c r="Q88" s="251">
        <v>0</v>
      </c>
      <c r="R88" s="251">
        <v>0</v>
      </c>
      <c r="S88" s="251">
        <v>0</v>
      </c>
      <c r="T88" s="251">
        <v>0</v>
      </c>
      <c r="U88" s="243"/>
      <c r="V88" s="243"/>
      <c r="W88" s="243"/>
      <c r="X88" s="243"/>
    </row>
    <row r="89" spans="1:24">
      <c r="A89" s="243">
        <v>88</v>
      </c>
      <c r="B89" s="243" t="s">
        <v>34</v>
      </c>
      <c r="C89" s="243" t="s">
        <v>886</v>
      </c>
      <c r="D89" s="250" t="s">
        <v>1098</v>
      </c>
      <c r="E89" s="251">
        <v>0</v>
      </c>
      <c r="F89" s="251">
        <v>0</v>
      </c>
      <c r="G89" s="251">
        <v>0</v>
      </c>
      <c r="H89" s="251">
        <v>0</v>
      </c>
      <c r="I89" s="251">
        <v>0</v>
      </c>
      <c r="J89" s="251">
        <v>0</v>
      </c>
      <c r="K89" s="251">
        <v>0</v>
      </c>
      <c r="L89" s="251">
        <v>0</v>
      </c>
      <c r="M89" s="251">
        <v>0</v>
      </c>
      <c r="N89" s="251">
        <v>0</v>
      </c>
      <c r="O89" s="251">
        <v>0</v>
      </c>
      <c r="P89" s="251">
        <v>0</v>
      </c>
      <c r="Q89" s="251">
        <v>0</v>
      </c>
      <c r="R89" s="251">
        <v>0</v>
      </c>
      <c r="S89" s="251">
        <v>0</v>
      </c>
      <c r="T89" s="251">
        <v>0</v>
      </c>
      <c r="U89" s="243"/>
      <c r="V89" s="243"/>
      <c r="W89" s="243"/>
      <c r="X89" s="243"/>
    </row>
    <row r="90" spans="1:24">
      <c r="A90" s="243">
        <v>89</v>
      </c>
      <c r="B90" s="243" t="s">
        <v>34</v>
      </c>
      <c r="C90" s="243" t="s">
        <v>886</v>
      </c>
      <c r="D90" s="250" t="s">
        <v>233</v>
      </c>
      <c r="E90" s="251">
        <v>0</v>
      </c>
      <c r="F90" s="251">
        <v>0</v>
      </c>
      <c r="G90" s="251">
        <v>0</v>
      </c>
      <c r="H90" s="251">
        <v>0</v>
      </c>
      <c r="I90" s="251">
        <v>0</v>
      </c>
      <c r="J90" s="251">
        <v>0</v>
      </c>
      <c r="K90" s="251">
        <v>0</v>
      </c>
      <c r="L90" s="251">
        <v>0</v>
      </c>
      <c r="M90" s="251">
        <v>0</v>
      </c>
      <c r="N90" s="251">
        <v>0</v>
      </c>
      <c r="O90" s="251">
        <v>0</v>
      </c>
      <c r="P90" s="251">
        <v>0</v>
      </c>
      <c r="Q90" s="251">
        <v>0</v>
      </c>
      <c r="R90" s="251">
        <v>0</v>
      </c>
      <c r="S90" s="251">
        <v>0</v>
      </c>
      <c r="T90" s="251">
        <v>0</v>
      </c>
      <c r="U90" s="243"/>
      <c r="V90" s="243"/>
      <c r="W90" s="243"/>
      <c r="X90" s="243"/>
    </row>
    <row r="91" spans="1:24">
      <c r="A91" s="243">
        <v>90</v>
      </c>
      <c r="B91" s="243" t="s">
        <v>33</v>
      </c>
      <c r="C91" s="243" t="s">
        <v>32</v>
      </c>
      <c r="D91" s="250" t="s">
        <v>66</v>
      </c>
      <c r="E91" s="251">
        <v>0</v>
      </c>
      <c r="F91" s="251">
        <v>0</v>
      </c>
      <c r="G91" s="251">
        <v>0</v>
      </c>
      <c r="H91" s="251">
        <v>0</v>
      </c>
      <c r="I91" s="251">
        <v>0</v>
      </c>
      <c r="J91" s="251">
        <v>0</v>
      </c>
      <c r="K91" s="251">
        <v>0</v>
      </c>
      <c r="L91" s="251">
        <v>0</v>
      </c>
      <c r="M91" s="251">
        <v>0</v>
      </c>
      <c r="N91" s="251">
        <v>0</v>
      </c>
      <c r="O91" s="251">
        <v>0</v>
      </c>
      <c r="P91" s="251">
        <v>0</v>
      </c>
      <c r="Q91" s="251">
        <v>0</v>
      </c>
      <c r="R91" s="251">
        <v>0</v>
      </c>
      <c r="S91" s="251">
        <v>0</v>
      </c>
      <c r="T91" s="251">
        <v>0</v>
      </c>
      <c r="U91" s="243"/>
      <c r="V91" s="243"/>
      <c r="W91" s="243"/>
      <c r="X91" s="243"/>
    </row>
    <row r="92" spans="1:24">
      <c r="A92" s="243">
        <v>91</v>
      </c>
      <c r="B92" s="243" t="s">
        <v>33</v>
      </c>
      <c r="C92" s="243" t="s">
        <v>32</v>
      </c>
      <c r="D92" s="250" t="s">
        <v>1095</v>
      </c>
      <c r="E92" s="251">
        <v>0</v>
      </c>
      <c r="F92" s="251">
        <v>0</v>
      </c>
      <c r="G92" s="251">
        <v>0</v>
      </c>
      <c r="H92" s="251">
        <v>0</v>
      </c>
      <c r="I92" s="251">
        <v>0</v>
      </c>
      <c r="J92" s="251">
        <v>0</v>
      </c>
      <c r="K92" s="251">
        <v>0</v>
      </c>
      <c r="L92" s="251">
        <v>0</v>
      </c>
      <c r="M92" s="251">
        <v>0</v>
      </c>
      <c r="N92" s="251">
        <v>0</v>
      </c>
      <c r="O92" s="251">
        <v>0</v>
      </c>
      <c r="P92" s="251">
        <v>0</v>
      </c>
      <c r="Q92" s="251">
        <v>0</v>
      </c>
      <c r="R92" s="251">
        <v>0</v>
      </c>
      <c r="S92" s="251">
        <v>0</v>
      </c>
      <c r="T92" s="251">
        <v>0</v>
      </c>
      <c r="U92" s="243"/>
      <c r="V92" s="243"/>
      <c r="W92" s="243"/>
      <c r="X92" s="243"/>
    </row>
    <row r="93" spans="1:24">
      <c r="A93" s="243">
        <v>92</v>
      </c>
      <c r="B93" s="243" t="s">
        <v>33</v>
      </c>
      <c r="C93" s="243" t="s">
        <v>32</v>
      </c>
      <c r="D93" s="250" t="s">
        <v>1096</v>
      </c>
      <c r="E93" s="251">
        <v>0</v>
      </c>
      <c r="F93" s="251">
        <v>0</v>
      </c>
      <c r="G93" s="251">
        <v>0</v>
      </c>
      <c r="H93" s="251">
        <v>0</v>
      </c>
      <c r="I93" s="251">
        <v>0</v>
      </c>
      <c r="J93" s="251">
        <v>0</v>
      </c>
      <c r="K93" s="251">
        <v>0</v>
      </c>
      <c r="L93" s="251">
        <v>0</v>
      </c>
      <c r="M93" s="251">
        <v>0</v>
      </c>
      <c r="N93" s="251">
        <v>0</v>
      </c>
      <c r="O93" s="251">
        <v>0</v>
      </c>
      <c r="P93" s="251">
        <v>0</v>
      </c>
      <c r="Q93" s="251">
        <v>0</v>
      </c>
      <c r="R93" s="251">
        <v>0</v>
      </c>
      <c r="S93" s="251">
        <v>0</v>
      </c>
      <c r="T93" s="251">
        <v>0</v>
      </c>
      <c r="U93" s="243"/>
      <c r="V93" s="243"/>
      <c r="W93" s="243"/>
      <c r="X93" s="243"/>
    </row>
    <row r="94" spans="1:24">
      <c r="A94" s="243">
        <v>93</v>
      </c>
      <c r="B94" s="243" t="s">
        <v>33</v>
      </c>
      <c r="C94" s="243" t="s">
        <v>32</v>
      </c>
      <c r="D94" s="250" t="s">
        <v>1097</v>
      </c>
      <c r="E94" s="251">
        <v>0</v>
      </c>
      <c r="F94" s="251">
        <v>0</v>
      </c>
      <c r="G94" s="251">
        <v>0</v>
      </c>
      <c r="H94" s="251">
        <v>0</v>
      </c>
      <c r="I94" s="251">
        <v>0</v>
      </c>
      <c r="J94" s="251">
        <v>0</v>
      </c>
      <c r="K94" s="251">
        <v>0</v>
      </c>
      <c r="L94" s="251">
        <v>0</v>
      </c>
      <c r="M94" s="251">
        <v>0</v>
      </c>
      <c r="N94" s="251">
        <v>0</v>
      </c>
      <c r="O94" s="251">
        <v>0</v>
      </c>
      <c r="P94" s="251">
        <v>0</v>
      </c>
      <c r="Q94" s="251">
        <v>0</v>
      </c>
      <c r="R94" s="251">
        <v>0</v>
      </c>
      <c r="S94" s="251">
        <v>0</v>
      </c>
      <c r="T94" s="251">
        <v>0</v>
      </c>
      <c r="U94" s="243"/>
      <c r="V94" s="243"/>
      <c r="W94" s="243"/>
      <c r="X94" s="243"/>
    </row>
    <row r="95" spans="1:24">
      <c r="A95" s="243">
        <v>94</v>
      </c>
      <c r="B95" s="243" t="s">
        <v>33</v>
      </c>
      <c r="C95" s="243" t="s">
        <v>32</v>
      </c>
      <c r="D95" s="250" t="s">
        <v>67</v>
      </c>
      <c r="E95" s="251">
        <v>0</v>
      </c>
      <c r="F95" s="251">
        <v>0</v>
      </c>
      <c r="G95" s="251">
        <v>0</v>
      </c>
      <c r="H95" s="251">
        <v>0</v>
      </c>
      <c r="I95" s="251">
        <v>0</v>
      </c>
      <c r="J95" s="251">
        <v>0</v>
      </c>
      <c r="K95" s="251">
        <v>0</v>
      </c>
      <c r="L95" s="251">
        <v>0</v>
      </c>
      <c r="M95" s="251">
        <v>0</v>
      </c>
      <c r="N95" s="251">
        <v>0</v>
      </c>
      <c r="O95" s="251">
        <v>0</v>
      </c>
      <c r="P95" s="251">
        <v>0</v>
      </c>
      <c r="Q95" s="251">
        <v>0</v>
      </c>
      <c r="R95" s="251">
        <v>0</v>
      </c>
      <c r="S95" s="251">
        <v>0</v>
      </c>
      <c r="T95" s="251">
        <v>0</v>
      </c>
      <c r="U95" s="243"/>
      <c r="V95" s="243"/>
      <c r="W95" s="243"/>
      <c r="X95" s="243"/>
    </row>
    <row r="96" spans="1:24">
      <c r="A96" s="243">
        <v>95</v>
      </c>
      <c r="B96" s="243" t="s">
        <v>33</v>
      </c>
      <c r="C96" s="243" t="s">
        <v>32</v>
      </c>
      <c r="D96" s="250" t="s">
        <v>68</v>
      </c>
      <c r="E96" s="251">
        <v>0</v>
      </c>
      <c r="F96" s="251">
        <v>0</v>
      </c>
      <c r="G96" s="251">
        <v>0</v>
      </c>
      <c r="H96" s="251">
        <v>0</v>
      </c>
      <c r="I96" s="251">
        <v>0</v>
      </c>
      <c r="J96" s="251">
        <v>0</v>
      </c>
      <c r="K96" s="251">
        <v>0</v>
      </c>
      <c r="L96" s="251">
        <v>0</v>
      </c>
      <c r="M96" s="251">
        <v>0</v>
      </c>
      <c r="N96" s="251">
        <v>0</v>
      </c>
      <c r="O96" s="251">
        <v>0</v>
      </c>
      <c r="P96" s="251">
        <v>0</v>
      </c>
      <c r="Q96" s="251">
        <v>0</v>
      </c>
      <c r="R96" s="251">
        <v>0</v>
      </c>
      <c r="S96" s="251">
        <v>0</v>
      </c>
      <c r="T96" s="251">
        <v>0</v>
      </c>
      <c r="U96" s="243"/>
      <c r="V96" s="243"/>
      <c r="W96" s="243"/>
      <c r="X96" s="243"/>
    </row>
    <row r="97" spans="1:24">
      <c r="A97" s="243">
        <v>96</v>
      </c>
      <c r="B97" s="243" t="s">
        <v>33</v>
      </c>
      <c r="C97" s="243" t="s">
        <v>32</v>
      </c>
      <c r="D97" s="250" t="s">
        <v>1098</v>
      </c>
      <c r="E97" s="251">
        <v>0</v>
      </c>
      <c r="F97" s="251">
        <v>0</v>
      </c>
      <c r="G97" s="251">
        <v>0</v>
      </c>
      <c r="H97" s="251">
        <v>0</v>
      </c>
      <c r="I97" s="251">
        <v>0</v>
      </c>
      <c r="J97" s="251">
        <v>0</v>
      </c>
      <c r="K97" s="251">
        <v>0</v>
      </c>
      <c r="L97" s="251">
        <v>0</v>
      </c>
      <c r="M97" s="251">
        <v>0</v>
      </c>
      <c r="N97" s="251">
        <v>0</v>
      </c>
      <c r="O97" s="251">
        <v>0</v>
      </c>
      <c r="P97" s="251">
        <v>0</v>
      </c>
      <c r="Q97" s="251">
        <v>0</v>
      </c>
      <c r="R97" s="251">
        <v>0</v>
      </c>
      <c r="S97" s="251">
        <v>0</v>
      </c>
      <c r="T97" s="251">
        <v>0</v>
      </c>
      <c r="U97" s="243"/>
      <c r="V97" s="243"/>
      <c r="W97" s="243"/>
      <c r="X97" s="243"/>
    </row>
    <row r="98" spans="1:24">
      <c r="A98" s="243">
        <v>97</v>
      </c>
      <c r="B98" s="243" t="s">
        <v>33</v>
      </c>
      <c r="C98" s="243" t="s">
        <v>32</v>
      </c>
      <c r="D98" s="250" t="s">
        <v>233</v>
      </c>
      <c r="E98" s="251">
        <v>0</v>
      </c>
      <c r="F98" s="251">
        <v>0</v>
      </c>
      <c r="G98" s="251">
        <v>0</v>
      </c>
      <c r="H98" s="251">
        <v>0</v>
      </c>
      <c r="I98" s="251">
        <v>0</v>
      </c>
      <c r="J98" s="251">
        <v>0</v>
      </c>
      <c r="K98" s="251">
        <v>0</v>
      </c>
      <c r="L98" s="251">
        <v>0</v>
      </c>
      <c r="M98" s="251">
        <v>0</v>
      </c>
      <c r="N98" s="251">
        <v>0</v>
      </c>
      <c r="O98" s="251">
        <v>0</v>
      </c>
      <c r="P98" s="251">
        <v>0</v>
      </c>
      <c r="Q98" s="251">
        <v>0</v>
      </c>
      <c r="R98" s="251">
        <v>0</v>
      </c>
      <c r="S98" s="251">
        <v>0</v>
      </c>
      <c r="T98" s="251">
        <v>0</v>
      </c>
      <c r="U98" s="243"/>
      <c r="V98" s="243"/>
      <c r="W98" s="243"/>
      <c r="X98" s="243"/>
    </row>
    <row r="99" spans="1:24">
      <c r="A99" s="243">
        <v>98</v>
      </c>
      <c r="B99" s="243" t="s">
        <v>30</v>
      </c>
      <c r="C99" s="243" t="s">
        <v>29</v>
      </c>
      <c r="D99" s="250" t="s">
        <v>66</v>
      </c>
      <c r="E99" s="251">
        <v>0</v>
      </c>
      <c r="F99" s="251">
        <v>0</v>
      </c>
      <c r="G99" s="251">
        <v>0</v>
      </c>
      <c r="H99" s="251">
        <v>0</v>
      </c>
      <c r="I99" s="251">
        <v>0</v>
      </c>
      <c r="J99" s="251">
        <v>0</v>
      </c>
      <c r="K99" s="251">
        <v>0</v>
      </c>
      <c r="L99" s="251">
        <v>0</v>
      </c>
      <c r="M99" s="251">
        <v>0</v>
      </c>
      <c r="N99" s="251">
        <v>0</v>
      </c>
      <c r="O99" s="251">
        <v>0</v>
      </c>
      <c r="P99" s="251">
        <v>0</v>
      </c>
      <c r="Q99" s="251">
        <v>0</v>
      </c>
      <c r="R99" s="251">
        <v>0</v>
      </c>
      <c r="S99" s="251">
        <v>0</v>
      </c>
      <c r="T99" s="251">
        <v>0</v>
      </c>
      <c r="U99" s="243"/>
      <c r="V99" s="243"/>
      <c r="W99" s="243"/>
      <c r="X99" s="243"/>
    </row>
    <row r="100" spans="1:24">
      <c r="A100" s="243">
        <v>99</v>
      </c>
      <c r="B100" s="243" t="s">
        <v>30</v>
      </c>
      <c r="C100" s="243" t="s">
        <v>29</v>
      </c>
      <c r="D100" s="250" t="s">
        <v>1095</v>
      </c>
      <c r="E100" s="251">
        <v>0</v>
      </c>
      <c r="F100" s="251">
        <v>0</v>
      </c>
      <c r="G100" s="251">
        <v>0</v>
      </c>
      <c r="H100" s="251">
        <v>0</v>
      </c>
      <c r="I100" s="251">
        <v>0</v>
      </c>
      <c r="J100" s="251">
        <v>0</v>
      </c>
      <c r="K100" s="251">
        <v>0</v>
      </c>
      <c r="L100" s="251">
        <v>0</v>
      </c>
      <c r="M100" s="251">
        <v>0</v>
      </c>
      <c r="N100" s="251">
        <v>0</v>
      </c>
      <c r="O100" s="251">
        <v>0</v>
      </c>
      <c r="P100" s="251">
        <v>0</v>
      </c>
      <c r="Q100" s="251">
        <v>0</v>
      </c>
      <c r="R100" s="251">
        <v>0</v>
      </c>
      <c r="S100" s="251">
        <v>0</v>
      </c>
      <c r="T100" s="251">
        <v>0</v>
      </c>
      <c r="U100" s="243"/>
      <c r="V100" s="243"/>
      <c r="W100" s="243"/>
      <c r="X100" s="243"/>
    </row>
    <row r="101" spans="1:24">
      <c r="A101" s="243">
        <v>100</v>
      </c>
      <c r="B101" s="243" t="s">
        <v>30</v>
      </c>
      <c r="C101" s="243" t="s">
        <v>29</v>
      </c>
      <c r="D101" s="250" t="s">
        <v>1096</v>
      </c>
      <c r="E101" s="251">
        <v>0</v>
      </c>
      <c r="F101" s="251">
        <v>0</v>
      </c>
      <c r="G101" s="251">
        <v>0</v>
      </c>
      <c r="H101" s="251">
        <v>0</v>
      </c>
      <c r="I101" s="251">
        <v>0</v>
      </c>
      <c r="J101" s="251">
        <v>0</v>
      </c>
      <c r="K101" s="251">
        <v>0</v>
      </c>
      <c r="L101" s="251">
        <v>0</v>
      </c>
      <c r="M101" s="251">
        <v>0</v>
      </c>
      <c r="N101" s="251">
        <v>0</v>
      </c>
      <c r="O101" s="251">
        <v>0</v>
      </c>
      <c r="P101" s="251">
        <v>0</v>
      </c>
      <c r="Q101" s="251">
        <v>0</v>
      </c>
      <c r="R101" s="251">
        <v>0</v>
      </c>
      <c r="S101" s="251">
        <v>0</v>
      </c>
      <c r="T101" s="251">
        <v>0</v>
      </c>
      <c r="U101" s="243"/>
      <c r="V101" s="243"/>
      <c r="W101" s="243"/>
      <c r="X101" s="243"/>
    </row>
    <row r="102" spans="1:24">
      <c r="A102" s="243">
        <v>101</v>
      </c>
      <c r="B102" s="243" t="s">
        <v>30</v>
      </c>
      <c r="C102" s="243" t="s">
        <v>29</v>
      </c>
      <c r="D102" s="250" t="s">
        <v>1097</v>
      </c>
      <c r="E102" s="251">
        <v>0</v>
      </c>
      <c r="F102" s="251">
        <v>0</v>
      </c>
      <c r="G102" s="251">
        <v>0</v>
      </c>
      <c r="H102" s="251">
        <v>0</v>
      </c>
      <c r="I102" s="251">
        <v>0</v>
      </c>
      <c r="J102" s="251">
        <v>0</v>
      </c>
      <c r="K102" s="251">
        <v>0</v>
      </c>
      <c r="L102" s="251">
        <v>0</v>
      </c>
      <c r="M102" s="251">
        <v>0</v>
      </c>
      <c r="N102" s="251">
        <v>0</v>
      </c>
      <c r="O102" s="251">
        <v>0</v>
      </c>
      <c r="P102" s="251">
        <v>0</v>
      </c>
      <c r="Q102" s="251">
        <v>0</v>
      </c>
      <c r="R102" s="251">
        <v>0</v>
      </c>
      <c r="S102" s="251">
        <v>0</v>
      </c>
      <c r="T102" s="251">
        <v>0</v>
      </c>
      <c r="U102" s="243"/>
      <c r="V102" s="243"/>
      <c r="W102" s="243"/>
      <c r="X102" s="243"/>
    </row>
    <row r="103" spans="1:24">
      <c r="A103" s="243">
        <v>102</v>
      </c>
      <c r="B103" s="243" t="s">
        <v>30</v>
      </c>
      <c r="C103" s="243" t="s">
        <v>29</v>
      </c>
      <c r="D103" s="250" t="s">
        <v>67</v>
      </c>
      <c r="E103" s="251">
        <v>0</v>
      </c>
      <c r="F103" s="251">
        <v>0</v>
      </c>
      <c r="G103" s="251">
        <v>0</v>
      </c>
      <c r="H103" s="251">
        <v>0</v>
      </c>
      <c r="I103" s="251">
        <v>0</v>
      </c>
      <c r="J103" s="251">
        <v>0</v>
      </c>
      <c r="K103" s="251">
        <v>0</v>
      </c>
      <c r="L103" s="251">
        <v>0</v>
      </c>
      <c r="M103" s="251">
        <v>0</v>
      </c>
      <c r="N103" s="251">
        <v>0</v>
      </c>
      <c r="O103" s="251">
        <v>0</v>
      </c>
      <c r="P103" s="251">
        <v>0</v>
      </c>
      <c r="Q103" s="251">
        <v>0</v>
      </c>
      <c r="R103" s="251">
        <v>0</v>
      </c>
      <c r="S103" s="251">
        <v>0</v>
      </c>
      <c r="T103" s="251">
        <v>0</v>
      </c>
      <c r="U103" s="243"/>
      <c r="V103" s="243"/>
      <c r="W103" s="243"/>
      <c r="X103" s="243"/>
    </row>
    <row r="104" spans="1:24">
      <c r="A104" s="243">
        <v>103</v>
      </c>
      <c r="B104" s="243" t="s">
        <v>30</v>
      </c>
      <c r="C104" s="243" t="s">
        <v>29</v>
      </c>
      <c r="D104" s="250" t="s">
        <v>68</v>
      </c>
      <c r="E104" s="251">
        <v>0</v>
      </c>
      <c r="F104" s="251">
        <v>0</v>
      </c>
      <c r="G104" s="251">
        <v>0</v>
      </c>
      <c r="H104" s="251">
        <v>0</v>
      </c>
      <c r="I104" s="251">
        <v>0</v>
      </c>
      <c r="J104" s="251">
        <v>0</v>
      </c>
      <c r="K104" s="251">
        <v>0</v>
      </c>
      <c r="L104" s="251">
        <v>0</v>
      </c>
      <c r="M104" s="251">
        <v>0</v>
      </c>
      <c r="N104" s="251">
        <v>0</v>
      </c>
      <c r="O104" s="251">
        <v>0</v>
      </c>
      <c r="P104" s="251">
        <v>0</v>
      </c>
      <c r="Q104" s="251">
        <v>0</v>
      </c>
      <c r="R104" s="251">
        <v>0</v>
      </c>
      <c r="S104" s="251">
        <v>0</v>
      </c>
      <c r="T104" s="251">
        <v>0</v>
      </c>
      <c r="U104" s="243"/>
      <c r="V104" s="243"/>
      <c r="W104" s="243"/>
      <c r="X104" s="243"/>
    </row>
    <row r="105" spans="1:24">
      <c r="A105" s="243">
        <v>104</v>
      </c>
      <c r="B105" s="243" t="s">
        <v>30</v>
      </c>
      <c r="C105" s="243" t="s">
        <v>29</v>
      </c>
      <c r="D105" s="250" t="s">
        <v>1098</v>
      </c>
      <c r="E105" s="251">
        <v>0</v>
      </c>
      <c r="F105" s="251">
        <v>0</v>
      </c>
      <c r="G105" s="251">
        <v>0</v>
      </c>
      <c r="H105" s="251">
        <v>0</v>
      </c>
      <c r="I105" s="251">
        <v>0</v>
      </c>
      <c r="J105" s="251">
        <v>0</v>
      </c>
      <c r="K105" s="251">
        <v>0</v>
      </c>
      <c r="L105" s="251">
        <v>0</v>
      </c>
      <c r="M105" s="251">
        <v>0</v>
      </c>
      <c r="N105" s="251">
        <v>0</v>
      </c>
      <c r="O105" s="251">
        <v>0</v>
      </c>
      <c r="P105" s="251">
        <v>0</v>
      </c>
      <c r="Q105" s="251">
        <v>0</v>
      </c>
      <c r="R105" s="251">
        <v>0</v>
      </c>
      <c r="S105" s="251">
        <v>0</v>
      </c>
      <c r="T105" s="251">
        <v>0</v>
      </c>
      <c r="U105" s="243"/>
      <c r="V105" s="243"/>
      <c r="W105" s="243"/>
      <c r="X105" s="243"/>
    </row>
    <row r="106" spans="1:24">
      <c r="A106" s="243">
        <v>105</v>
      </c>
      <c r="B106" s="243" t="s">
        <v>30</v>
      </c>
      <c r="C106" s="243" t="s">
        <v>29</v>
      </c>
      <c r="D106" s="250" t="s">
        <v>233</v>
      </c>
      <c r="E106" s="251">
        <v>0</v>
      </c>
      <c r="F106" s="251">
        <v>0</v>
      </c>
      <c r="G106" s="251">
        <v>0</v>
      </c>
      <c r="H106" s="251">
        <v>0</v>
      </c>
      <c r="I106" s="251">
        <v>0</v>
      </c>
      <c r="J106" s="251">
        <v>0</v>
      </c>
      <c r="K106" s="251">
        <v>0</v>
      </c>
      <c r="L106" s="251">
        <v>0</v>
      </c>
      <c r="M106" s="251">
        <v>0</v>
      </c>
      <c r="N106" s="251">
        <v>0</v>
      </c>
      <c r="O106" s="251">
        <v>0</v>
      </c>
      <c r="P106" s="251">
        <v>0</v>
      </c>
      <c r="Q106" s="251">
        <v>0</v>
      </c>
      <c r="R106" s="251">
        <v>0</v>
      </c>
      <c r="S106" s="251">
        <v>0</v>
      </c>
      <c r="T106" s="251">
        <v>0</v>
      </c>
      <c r="U106" s="243"/>
      <c r="V106" s="243"/>
      <c r="W106" s="243"/>
      <c r="X106" s="243"/>
    </row>
    <row r="107" spans="1:24">
      <c r="A107" s="243">
        <v>106</v>
      </c>
      <c r="B107" s="243" t="s">
        <v>28</v>
      </c>
      <c r="C107" s="243" t="s">
        <v>27</v>
      </c>
      <c r="D107" s="250" t="s">
        <v>66</v>
      </c>
      <c r="E107" s="251">
        <v>0</v>
      </c>
      <c r="F107" s="251">
        <v>0</v>
      </c>
      <c r="G107" s="251">
        <v>0</v>
      </c>
      <c r="H107" s="251">
        <v>0</v>
      </c>
      <c r="I107" s="251">
        <v>0</v>
      </c>
      <c r="J107" s="251">
        <v>0</v>
      </c>
      <c r="K107" s="251">
        <v>0</v>
      </c>
      <c r="L107" s="251">
        <v>0</v>
      </c>
      <c r="M107" s="251">
        <v>0</v>
      </c>
      <c r="N107" s="251">
        <v>0</v>
      </c>
      <c r="O107" s="251">
        <v>0</v>
      </c>
      <c r="P107" s="251">
        <v>0</v>
      </c>
      <c r="Q107" s="251">
        <v>0</v>
      </c>
      <c r="R107" s="251">
        <v>0</v>
      </c>
      <c r="S107" s="251">
        <v>0</v>
      </c>
      <c r="T107" s="251">
        <v>0</v>
      </c>
      <c r="U107" s="243"/>
      <c r="V107" s="243"/>
      <c r="W107" s="243"/>
      <c r="X107" s="243"/>
    </row>
    <row r="108" spans="1:24">
      <c r="A108" s="243">
        <v>107</v>
      </c>
      <c r="B108" s="243" t="s">
        <v>28</v>
      </c>
      <c r="C108" s="243" t="s">
        <v>27</v>
      </c>
      <c r="D108" s="250" t="s">
        <v>1095</v>
      </c>
      <c r="E108" s="251">
        <v>0</v>
      </c>
      <c r="F108" s="251">
        <v>0</v>
      </c>
      <c r="G108" s="251">
        <v>0</v>
      </c>
      <c r="H108" s="251">
        <v>0</v>
      </c>
      <c r="I108" s="251">
        <v>0</v>
      </c>
      <c r="J108" s="251">
        <v>0</v>
      </c>
      <c r="K108" s="251">
        <v>0</v>
      </c>
      <c r="L108" s="251">
        <v>0</v>
      </c>
      <c r="M108" s="251">
        <v>0</v>
      </c>
      <c r="N108" s="251">
        <v>0</v>
      </c>
      <c r="O108" s="251">
        <v>0</v>
      </c>
      <c r="P108" s="251">
        <v>0</v>
      </c>
      <c r="Q108" s="251">
        <v>0</v>
      </c>
      <c r="R108" s="251">
        <v>0</v>
      </c>
      <c r="S108" s="251">
        <v>0</v>
      </c>
      <c r="T108" s="251">
        <v>0</v>
      </c>
      <c r="U108" s="243"/>
      <c r="V108" s="243"/>
      <c r="W108" s="243"/>
      <c r="X108" s="243"/>
    </row>
    <row r="109" spans="1:24">
      <c r="A109" s="243">
        <v>108</v>
      </c>
      <c r="B109" s="243" t="s">
        <v>28</v>
      </c>
      <c r="C109" s="243" t="s">
        <v>27</v>
      </c>
      <c r="D109" s="250" t="s">
        <v>1096</v>
      </c>
      <c r="E109" s="251">
        <v>0</v>
      </c>
      <c r="F109" s="251">
        <v>0</v>
      </c>
      <c r="G109" s="251">
        <v>0</v>
      </c>
      <c r="H109" s="251">
        <v>0</v>
      </c>
      <c r="I109" s="251">
        <v>0</v>
      </c>
      <c r="J109" s="251">
        <v>0</v>
      </c>
      <c r="K109" s="251">
        <v>0</v>
      </c>
      <c r="L109" s="251">
        <v>0</v>
      </c>
      <c r="M109" s="251">
        <v>0</v>
      </c>
      <c r="N109" s="251">
        <v>0</v>
      </c>
      <c r="O109" s="251">
        <v>0</v>
      </c>
      <c r="P109" s="251">
        <v>0</v>
      </c>
      <c r="Q109" s="251">
        <v>0</v>
      </c>
      <c r="R109" s="251">
        <v>0</v>
      </c>
      <c r="S109" s="251">
        <v>0</v>
      </c>
      <c r="T109" s="251">
        <v>0</v>
      </c>
      <c r="U109" s="243"/>
      <c r="V109" s="243"/>
      <c r="W109" s="243"/>
      <c r="X109" s="243"/>
    </row>
    <row r="110" spans="1:24">
      <c r="A110" s="243">
        <v>109</v>
      </c>
      <c r="B110" s="243" t="s">
        <v>28</v>
      </c>
      <c r="C110" s="243" t="s">
        <v>27</v>
      </c>
      <c r="D110" s="250" t="s">
        <v>1097</v>
      </c>
      <c r="E110" s="251">
        <v>0</v>
      </c>
      <c r="F110" s="251">
        <v>0</v>
      </c>
      <c r="G110" s="251">
        <v>0</v>
      </c>
      <c r="H110" s="251">
        <v>0</v>
      </c>
      <c r="I110" s="251">
        <v>0</v>
      </c>
      <c r="J110" s="251">
        <v>0</v>
      </c>
      <c r="K110" s="251">
        <v>0</v>
      </c>
      <c r="L110" s="251">
        <v>0</v>
      </c>
      <c r="M110" s="251">
        <v>0</v>
      </c>
      <c r="N110" s="251">
        <v>0</v>
      </c>
      <c r="O110" s="251">
        <v>0</v>
      </c>
      <c r="P110" s="251">
        <v>0</v>
      </c>
      <c r="Q110" s="251">
        <v>0</v>
      </c>
      <c r="R110" s="251">
        <v>0</v>
      </c>
      <c r="S110" s="251">
        <v>0</v>
      </c>
      <c r="T110" s="251">
        <v>0</v>
      </c>
      <c r="U110" s="243"/>
      <c r="V110" s="243"/>
      <c r="W110" s="243"/>
      <c r="X110" s="243"/>
    </row>
    <row r="111" spans="1:24">
      <c r="A111" s="243">
        <v>110</v>
      </c>
      <c r="B111" s="243" t="s">
        <v>28</v>
      </c>
      <c r="C111" s="243" t="s">
        <v>27</v>
      </c>
      <c r="D111" s="250" t="s">
        <v>67</v>
      </c>
      <c r="E111" s="251">
        <v>0</v>
      </c>
      <c r="F111" s="251">
        <v>0</v>
      </c>
      <c r="G111" s="251">
        <v>0</v>
      </c>
      <c r="H111" s="251">
        <v>0</v>
      </c>
      <c r="I111" s="251">
        <v>0</v>
      </c>
      <c r="J111" s="251">
        <v>0</v>
      </c>
      <c r="K111" s="251">
        <v>0</v>
      </c>
      <c r="L111" s="251">
        <v>0</v>
      </c>
      <c r="M111" s="251">
        <v>0</v>
      </c>
      <c r="N111" s="251">
        <v>0</v>
      </c>
      <c r="O111" s="251">
        <v>0</v>
      </c>
      <c r="P111" s="251">
        <v>0</v>
      </c>
      <c r="Q111" s="251">
        <v>0</v>
      </c>
      <c r="R111" s="251">
        <v>0</v>
      </c>
      <c r="S111" s="251">
        <v>0</v>
      </c>
      <c r="T111" s="251">
        <v>0</v>
      </c>
      <c r="U111" s="243"/>
      <c r="V111" s="243"/>
      <c r="W111" s="243"/>
      <c r="X111" s="243"/>
    </row>
    <row r="112" spans="1:24">
      <c r="A112" s="243">
        <v>111</v>
      </c>
      <c r="B112" s="243" t="s">
        <v>28</v>
      </c>
      <c r="C112" s="243" t="s">
        <v>27</v>
      </c>
      <c r="D112" s="250" t="s">
        <v>68</v>
      </c>
      <c r="E112" s="251">
        <v>0</v>
      </c>
      <c r="F112" s="251">
        <v>0</v>
      </c>
      <c r="G112" s="251">
        <v>0</v>
      </c>
      <c r="H112" s="251">
        <v>0</v>
      </c>
      <c r="I112" s="251">
        <v>0</v>
      </c>
      <c r="J112" s="251">
        <v>0</v>
      </c>
      <c r="K112" s="251">
        <v>0</v>
      </c>
      <c r="L112" s="251">
        <v>0</v>
      </c>
      <c r="M112" s="251">
        <v>0</v>
      </c>
      <c r="N112" s="251">
        <v>0</v>
      </c>
      <c r="O112" s="251">
        <v>0</v>
      </c>
      <c r="P112" s="251">
        <v>0</v>
      </c>
      <c r="Q112" s="251">
        <v>0</v>
      </c>
      <c r="R112" s="251">
        <v>0</v>
      </c>
      <c r="S112" s="251">
        <v>0</v>
      </c>
      <c r="T112" s="251">
        <v>0</v>
      </c>
      <c r="U112" s="243"/>
      <c r="V112" s="243"/>
      <c r="W112" s="243"/>
      <c r="X112" s="243"/>
    </row>
    <row r="113" spans="1:24">
      <c r="A113" s="243">
        <v>112</v>
      </c>
      <c r="B113" s="243" t="s">
        <v>28</v>
      </c>
      <c r="C113" s="243" t="s">
        <v>27</v>
      </c>
      <c r="D113" s="250" t="s">
        <v>1098</v>
      </c>
      <c r="E113" s="251">
        <v>0</v>
      </c>
      <c r="F113" s="251">
        <v>0</v>
      </c>
      <c r="G113" s="251">
        <v>0</v>
      </c>
      <c r="H113" s="251">
        <v>0</v>
      </c>
      <c r="I113" s="251">
        <v>0</v>
      </c>
      <c r="J113" s="251">
        <v>0</v>
      </c>
      <c r="K113" s="251">
        <v>0</v>
      </c>
      <c r="L113" s="251">
        <v>0</v>
      </c>
      <c r="M113" s="251">
        <v>0</v>
      </c>
      <c r="N113" s="251">
        <v>0</v>
      </c>
      <c r="O113" s="251">
        <v>0</v>
      </c>
      <c r="P113" s="251">
        <v>0</v>
      </c>
      <c r="Q113" s="251">
        <v>0</v>
      </c>
      <c r="R113" s="251">
        <v>0</v>
      </c>
      <c r="S113" s="251">
        <v>0</v>
      </c>
      <c r="T113" s="251">
        <v>0</v>
      </c>
      <c r="U113" s="243"/>
      <c r="V113" s="243"/>
      <c r="W113" s="243"/>
      <c r="X113" s="243"/>
    </row>
    <row r="114" spans="1:24">
      <c r="A114" s="243">
        <v>113</v>
      </c>
      <c r="B114" s="243" t="s">
        <v>28</v>
      </c>
      <c r="C114" s="243" t="s">
        <v>27</v>
      </c>
      <c r="D114" s="250" t="s">
        <v>233</v>
      </c>
      <c r="E114" s="251">
        <v>0</v>
      </c>
      <c r="F114" s="251">
        <v>0</v>
      </c>
      <c r="G114" s="251">
        <v>0</v>
      </c>
      <c r="H114" s="251">
        <v>0</v>
      </c>
      <c r="I114" s="251">
        <v>0</v>
      </c>
      <c r="J114" s="251">
        <v>0</v>
      </c>
      <c r="K114" s="251">
        <v>0</v>
      </c>
      <c r="L114" s="251">
        <v>0</v>
      </c>
      <c r="M114" s="251">
        <v>0</v>
      </c>
      <c r="N114" s="251">
        <v>0</v>
      </c>
      <c r="O114" s="251">
        <v>0</v>
      </c>
      <c r="P114" s="251">
        <v>0</v>
      </c>
      <c r="Q114" s="251">
        <v>0</v>
      </c>
      <c r="R114" s="251">
        <v>0</v>
      </c>
      <c r="S114" s="251">
        <v>0</v>
      </c>
      <c r="T114" s="251">
        <v>0</v>
      </c>
      <c r="U114" s="243"/>
      <c r="V114" s="243"/>
      <c r="W114" s="243"/>
      <c r="X114" s="243"/>
    </row>
    <row r="115" spans="1:24">
      <c r="A115" s="243">
        <v>114</v>
      </c>
      <c r="B115" s="243" t="s">
        <v>25</v>
      </c>
      <c r="C115" s="243" t="s">
        <v>24</v>
      </c>
      <c r="D115" s="250" t="s">
        <v>66</v>
      </c>
      <c r="E115" s="251">
        <v>0</v>
      </c>
      <c r="F115" s="251">
        <v>0</v>
      </c>
      <c r="G115" s="251">
        <v>0</v>
      </c>
      <c r="H115" s="251">
        <v>0</v>
      </c>
      <c r="I115" s="251">
        <v>0</v>
      </c>
      <c r="J115" s="251">
        <v>0</v>
      </c>
      <c r="K115" s="251">
        <v>0</v>
      </c>
      <c r="L115" s="251">
        <v>0</v>
      </c>
      <c r="M115" s="251">
        <v>0</v>
      </c>
      <c r="N115" s="251">
        <v>0</v>
      </c>
      <c r="O115" s="251">
        <v>0</v>
      </c>
      <c r="P115" s="251">
        <v>0</v>
      </c>
      <c r="Q115" s="251">
        <v>0</v>
      </c>
      <c r="R115" s="251">
        <v>0</v>
      </c>
      <c r="S115" s="251">
        <v>0</v>
      </c>
      <c r="T115" s="251">
        <v>0</v>
      </c>
      <c r="U115" s="243"/>
      <c r="V115" s="243"/>
      <c r="W115" s="243"/>
      <c r="X115" s="243"/>
    </row>
    <row r="116" spans="1:24">
      <c r="A116" s="243">
        <v>115</v>
      </c>
      <c r="B116" s="243" t="s">
        <v>25</v>
      </c>
      <c r="C116" s="243" t="s">
        <v>24</v>
      </c>
      <c r="D116" s="250" t="s">
        <v>1095</v>
      </c>
      <c r="E116" s="251">
        <v>0</v>
      </c>
      <c r="F116" s="251">
        <v>0</v>
      </c>
      <c r="G116" s="251">
        <v>0</v>
      </c>
      <c r="H116" s="251">
        <v>0</v>
      </c>
      <c r="I116" s="251">
        <v>0</v>
      </c>
      <c r="J116" s="251">
        <v>0</v>
      </c>
      <c r="K116" s="251">
        <v>0</v>
      </c>
      <c r="L116" s="251">
        <v>0</v>
      </c>
      <c r="M116" s="251">
        <v>0</v>
      </c>
      <c r="N116" s="251">
        <v>0</v>
      </c>
      <c r="O116" s="251">
        <v>0</v>
      </c>
      <c r="P116" s="251">
        <v>0</v>
      </c>
      <c r="Q116" s="251">
        <v>0</v>
      </c>
      <c r="R116" s="251">
        <v>0</v>
      </c>
      <c r="S116" s="251">
        <v>0</v>
      </c>
      <c r="T116" s="251">
        <v>0</v>
      </c>
      <c r="U116" s="243"/>
      <c r="V116" s="243"/>
      <c r="W116" s="243"/>
      <c r="X116" s="243"/>
    </row>
    <row r="117" spans="1:24">
      <c r="A117" s="243">
        <v>116</v>
      </c>
      <c r="B117" s="243" t="s">
        <v>25</v>
      </c>
      <c r="C117" s="243" t="s">
        <v>24</v>
      </c>
      <c r="D117" s="250" t="s">
        <v>1096</v>
      </c>
      <c r="E117" s="251">
        <v>0</v>
      </c>
      <c r="F117" s="251">
        <v>0</v>
      </c>
      <c r="G117" s="251">
        <v>0</v>
      </c>
      <c r="H117" s="251">
        <v>0</v>
      </c>
      <c r="I117" s="251">
        <v>0</v>
      </c>
      <c r="J117" s="251">
        <v>0</v>
      </c>
      <c r="K117" s="251">
        <v>0</v>
      </c>
      <c r="L117" s="251">
        <v>0</v>
      </c>
      <c r="M117" s="251">
        <v>0</v>
      </c>
      <c r="N117" s="251">
        <v>0</v>
      </c>
      <c r="O117" s="251">
        <v>0</v>
      </c>
      <c r="P117" s="251">
        <v>0</v>
      </c>
      <c r="Q117" s="251">
        <v>0</v>
      </c>
      <c r="R117" s="251">
        <v>0</v>
      </c>
      <c r="S117" s="251">
        <v>0</v>
      </c>
      <c r="T117" s="251">
        <v>0</v>
      </c>
      <c r="U117" s="243"/>
      <c r="V117" s="243"/>
      <c r="W117" s="243"/>
      <c r="X117" s="243"/>
    </row>
    <row r="118" spans="1:24">
      <c r="A118" s="243">
        <v>117</v>
      </c>
      <c r="B118" s="243" t="s">
        <v>25</v>
      </c>
      <c r="C118" s="243" t="s">
        <v>24</v>
      </c>
      <c r="D118" s="250" t="s">
        <v>1097</v>
      </c>
      <c r="E118" s="251">
        <v>0</v>
      </c>
      <c r="F118" s="251">
        <v>0</v>
      </c>
      <c r="G118" s="251">
        <v>0</v>
      </c>
      <c r="H118" s="251">
        <v>0</v>
      </c>
      <c r="I118" s="251">
        <v>0</v>
      </c>
      <c r="J118" s="251">
        <v>0</v>
      </c>
      <c r="K118" s="251">
        <v>0</v>
      </c>
      <c r="L118" s="251">
        <v>0</v>
      </c>
      <c r="M118" s="251">
        <v>0</v>
      </c>
      <c r="N118" s="251">
        <v>0</v>
      </c>
      <c r="O118" s="251">
        <v>0</v>
      </c>
      <c r="P118" s="251">
        <v>0</v>
      </c>
      <c r="Q118" s="251">
        <v>0</v>
      </c>
      <c r="R118" s="251">
        <v>0</v>
      </c>
      <c r="S118" s="251">
        <v>0</v>
      </c>
      <c r="T118" s="251">
        <v>0</v>
      </c>
      <c r="U118" s="243"/>
      <c r="V118" s="243"/>
      <c r="W118" s="243"/>
      <c r="X118" s="243"/>
    </row>
    <row r="119" spans="1:24">
      <c r="A119" s="243">
        <v>118</v>
      </c>
      <c r="B119" s="243" t="s">
        <v>25</v>
      </c>
      <c r="C119" s="243" t="s">
        <v>24</v>
      </c>
      <c r="D119" s="250" t="s">
        <v>67</v>
      </c>
      <c r="E119" s="251">
        <v>0</v>
      </c>
      <c r="F119" s="251">
        <v>0</v>
      </c>
      <c r="G119" s="251">
        <v>0</v>
      </c>
      <c r="H119" s="251">
        <v>0</v>
      </c>
      <c r="I119" s="251">
        <v>0</v>
      </c>
      <c r="J119" s="251">
        <v>0</v>
      </c>
      <c r="K119" s="251">
        <v>0</v>
      </c>
      <c r="L119" s="251">
        <v>0</v>
      </c>
      <c r="M119" s="251">
        <v>0</v>
      </c>
      <c r="N119" s="251">
        <v>0</v>
      </c>
      <c r="O119" s="251">
        <v>0</v>
      </c>
      <c r="P119" s="251">
        <v>0</v>
      </c>
      <c r="Q119" s="251">
        <v>0</v>
      </c>
      <c r="R119" s="251">
        <v>0</v>
      </c>
      <c r="S119" s="251">
        <v>0</v>
      </c>
      <c r="T119" s="251">
        <v>0</v>
      </c>
      <c r="U119" s="243"/>
      <c r="V119" s="243"/>
      <c r="W119" s="243"/>
      <c r="X119" s="243"/>
    </row>
    <row r="120" spans="1:24">
      <c r="A120" s="243">
        <v>119</v>
      </c>
      <c r="B120" s="243" t="s">
        <v>25</v>
      </c>
      <c r="C120" s="243" t="s">
        <v>24</v>
      </c>
      <c r="D120" s="250" t="s">
        <v>68</v>
      </c>
      <c r="E120" s="251">
        <v>0</v>
      </c>
      <c r="F120" s="251">
        <v>0</v>
      </c>
      <c r="G120" s="251">
        <v>0</v>
      </c>
      <c r="H120" s="251">
        <v>0</v>
      </c>
      <c r="I120" s="251">
        <v>0</v>
      </c>
      <c r="J120" s="251">
        <v>0</v>
      </c>
      <c r="K120" s="251">
        <v>0</v>
      </c>
      <c r="L120" s="251">
        <v>0</v>
      </c>
      <c r="M120" s="251">
        <v>0</v>
      </c>
      <c r="N120" s="251">
        <v>0</v>
      </c>
      <c r="O120" s="251">
        <v>0</v>
      </c>
      <c r="P120" s="251">
        <v>0</v>
      </c>
      <c r="Q120" s="251">
        <v>0</v>
      </c>
      <c r="R120" s="251">
        <v>0</v>
      </c>
      <c r="S120" s="251">
        <v>0</v>
      </c>
      <c r="T120" s="251">
        <v>0</v>
      </c>
      <c r="U120" s="243"/>
      <c r="V120" s="243"/>
      <c r="W120" s="243"/>
      <c r="X120" s="243"/>
    </row>
    <row r="121" spans="1:24">
      <c r="A121" s="243">
        <v>120</v>
      </c>
      <c r="B121" s="243" t="s">
        <v>25</v>
      </c>
      <c r="C121" s="243" t="s">
        <v>24</v>
      </c>
      <c r="D121" s="250" t="s">
        <v>1098</v>
      </c>
      <c r="E121" s="251">
        <v>0</v>
      </c>
      <c r="F121" s="251">
        <v>0</v>
      </c>
      <c r="G121" s="251">
        <v>0</v>
      </c>
      <c r="H121" s="251">
        <v>0</v>
      </c>
      <c r="I121" s="251">
        <v>0</v>
      </c>
      <c r="J121" s="251">
        <v>0</v>
      </c>
      <c r="K121" s="251">
        <v>0</v>
      </c>
      <c r="L121" s="251">
        <v>0</v>
      </c>
      <c r="M121" s="251">
        <v>0</v>
      </c>
      <c r="N121" s="251">
        <v>0</v>
      </c>
      <c r="O121" s="251">
        <v>0</v>
      </c>
      <c r="P121" s="251">
        <v>0</v>
      </c>
      <c r="Q121" s="251">
        <v>0</v>
      </c>
      <c r="R121" s="251">
        <v>0</v>
      </c>
      <c r="S121" s="251">
        <v>0</v>
      </c>
      <c r="T121" s="251">
        <v>0</v>
      </c>
      <c r="U121" s="243"/>
      <c r="V121" s="243"/>
      <c r="W121" s="243"/>
      <c r="X121" s="243"/>
    </row>
    <row r="122" spans="1:24">
      <c r="A122" s="243">
        <v>121</v>
      </c>
      <c r="B122" s="243" t="s">
        <v>25</v>
      </c>
      <c r="C122" s="243" t="s">
        <v>24</v>
      </c>
      <c r="D122" s="250" t="s">
        <v>233</v>
      </c>
      <c r="E122" s="251">
        <v>0</v>
      </c>
      <c r="F122" s="251">
        <v>0</v>
      </c>
      <c r="G122" s="251">
        <v>0</v>
      </c>
      <c r="H122" s="251">
        <v>0</v>
      </c>
      <c r="I122" s="251">
        <v>0</v>
      </c>
      <c r="J122" s="251">
        <v>0</v>
      </c>
      <c r="K122" s="251">
        <v>0</v>
      </c>
      <c r="L122" s="251">
        <v>0</v>
      </c>
      <c r="M122" s="251">
        <v>0</v>
      </c>
      <c r="N122" s="251">
        <v>0</v>
      </c>
      <c r="O122" s="251">
        <v>0</v>
      </c>
      <c r="P122" s="251">
        <v>0</v>
      </c>
      <c r="Q122" s="251">
        <v>0</v>
      </c>
      <c r="R122" s="251">
        <v>0</v>
      </c>
      <c r="S122" s="251">
        <v>0</v>
      </c>
      <c r="T122" s="251">
        <v>0</v>
      </c>
      <c r="U122" s="243"/>
      <c r="V122" s="243"/>
      <c r="W122" s="243"/>
      <c r="X122" s="243"/>
    </row>
    <row r="123" spans="1:24">
      <c r="A123" s="243">
        <v>122</v>
      </c>
      <c r="B123" s="243" t="s">
        <v>23</v>
      </c>
      <c r="C123" s="243" t="s">
        <v>22</v>
      </c>
      <c r="D123" s="250" t="s">
        <v>66</v>
      </c>
      <c r="E123" s="251">
        <v>0</v>
      </c>
      <c r="F123" s="251">
        <v>0</v>
      </c>
      <c r="G123" s="251">
        <v>0</v>
      </c>
      <c r="H123" s="251">
        <v>0</v>
      </c>
      <c r="I123" s="251">
        <v>0</v>
      </c>
      <c r="J123" s="251">
        <v>0</v>
      </c>
      <c r="K123" s="251">
        <v>0</v>
      </c>
      <c r="L123" s="251">
        <v>0</v>
      </c>
      <c r="M123" s="251">
        <v>0</v>
      </c>
      <c r="N123" s="251">
        <v>0</v>
      </c>
      <c r="O123" s="251">
        <v>0</v>
      </c>
      <c r="P123" s="251">
        <v>0</v>
      </c>
      <c r="Q123" s="251">
        <v>0</v>
      </c>
      <c r="R123" s="251">
        <v>0</v>
      </c>
      <c r="S123" s="251">
        <v>0</v>
      </c>
      <c r="T123" s="251">
        <v>0</v>
      </c>
      <c r="U123" s="243"/>
      <c r="V123" s="243"/>
      <c r="W123" s="243"/>
      <c r="X123" s="243"/>
    </row>
    <row r="124" spans="1:24">
      <c r="A124" s="243">
        <v>123</v>
      </c>
      <c r="B124" s="243" t="s">
        <v>23</v>
      </c>
      <c r="C124" s="243" t="s">
        <v>22</v>
      </c>
      <c r="D124" s="250" t="s">
        <v>1095</v>
      </c>
      <c r="E124" s="251">
        <v>0</v>
      </c>
      <c r="F124" s="251">
        <v>0</v>
      </c>
      <c r="G124" s="251">
        <v>0</v>
      </c>
      <c r="H124" s="251">
        <v>0</v>
      </c>
      <c r="I124" s="251">
        <v>0</v>
      </c>
      <c r="J124" s="251">
        <v>0</v>
      </c>
      <c r="K124" s="251">
        <v>0</v>
      </c>
      <c r="L124" s="251">
        <v>0</v>
      </c>
      <c r="M124" s="251">
        <v>0</v>
      </c>
      <c r="N124" s="251">
        <v>0</v>
      </c>
      <c r="O124" s="251">
        <v>0</v>
      </c>
      <c r="P124" s="251">
        <v>0</v>
      </c>
      <c r="Q124" s="251">
        <v>0</v>
      </c>
      <c r="R124" s="251">
        <v>0</v>
      </c>
      <c r="S124" s="251">
        <v>0</v>
      </c>
      <c r="T124" s="251">
        <v>0</v>
      </c>
      <c r="U124" s="243"/>
      <c r="V124" s="243"/>
      <c r="W124" s="243"/>
      <c r="X124" s="243"/>
    </row>
    <row r="125" spans="1:24">
      <c r="A125" s="243">
        <v>124</v>
      </c>
      <c r="B125" s="243" t="s">
        <v>23</v>
      </c>
      <c r="C125" s="243" t="s">
        <v>22</v>
      </c>
      <c r="D125" s="250" t="s">
        <v>1096</v>
      </c>
      <c r="E125" s="251">
        <v>0</v>
      </c>
      <c r="F125" s="251">
        <v>0</v>
      </c>
      <c r="G125" s="251">
        <v>0</v>
      </c>
      <c r="H125" s="251">
        <v>0</v>
      </c>
      <c r="I125" s="251">
        <v>0</v>
      </c>
      <c r="J125" s="251">
        <v>0</v>
      </c>
      <c r="K125" s="251">
        <v>0</v>
      </c>
      <c r="L125" s="251">
        <v>0</v>
      </c>
      <c r="M125" s="251">
        <v>0</v>
      </c>
      <c r="N125" s="251">
        <v>0</v>
      </c>
      <c r="O125" s="251">
        <v>0</v>
      </c>
      <c r="P125" s="251">
        <v>0</v>
      </c>
      <c r="Q125" s="251">
        <v>0</v>
      </c>
      <c r="R125" s="251">
        <v>0</v>
      </c>
      <c r="S125" s="251">
        <v>0</v>
      </c>
      <c r="T125" s="251">
        <v>0</v>
      </c>
      <c r="U125" s="243"/>
      <c r="V125" s="243"/>
      <c r="W125" s="243"/>
      <c r="X125" s="243"/>
    </row>
    <row r="126" spans="1:24">
      <c r="A126" s="243">
        <v>125</v>
      </c>
      <c r="B126" s="243" t="s">
        <v>23</v>
      </c>
      <c r="C126" s="243" t="s">
        <v>22</v>
      </c>
      <c r="D126" s="250" t="s">
        <v>1097</v>
      </c>
      <c r="E126" s="251">
        <v>0</v>
      </c>
      <c r="F126" s="251">
        <v>0</v>
      </c>
      <c r="G126" s="251">
        <v>0</v>
      </c>
      <c r="H126" s="251">
        <v>0</v>
      </c>
      <c r="I126" s="251">
        <v>0</v>
      </c>
      <c r="J126" s="251">
        <v>0</v>
      </c>
      <c r="K126" s="251">
        <v>0</v>
      </c>
      <c r="L126" s="251">
        <v>0</v>
      </c>
      <c r="M126" s="251">
        <v>0</v>
      </c>
      <c r="N126" s="251">
        <v>0</v>
      </c>
      <c r="O126" s="251">
        <v>0</v>
      </c>
      <c r="P126" s="251">
        <v>0</v>
      </c>
      <c r="Q126" s="251">
        <v>0</v>
      </c>
      <c r="R126" s="251">
        <v>0</v>
      </c>
      <c r="S126" s="251">
        <v>0</v>
      </c>
      <c r="T126" s="251">
        <v>0</v>
      </c>
      <c r="U126" s="243"/>
      <c r="V126" s="243"/>
      <c r="W126" s="243"/>
      <c r="X126" s="243"/>
    </row>
    <row r="127" spans="1:24">
      <c r="A127" s="243">
        <v>126</v>
      </c>
      <c r="B127" s="243" t="s">
        <v>23</v>
      </c>
      <c r="C127" s="243" t="s">
        <v>22</v>
      </c>
      <c r="D127" s="250" t="s">
        <v>67</v>
      </c>
      <c r="E127" s="251">
        <v>0</v>
      </c>
      <c r="F127" s="251">
        <v>0</v>
      </c>
      <c r="G127" s="251">
        <v>0</v>
      </c>
      <c r="H127" s="251">
        <v>0</v>
      </c>
      <c r="I127" s="251">
        <v>0</v>
      </c>
      <c r="J127" s="251">
        <v>0</v>
      </c>
      <c r="K127" s="251">
        <v>0</v>
      </c>
      <c r="L127" s="251">
        <v>0</v>
      </c>
      <c r="M127" s="251">
        <v>0</v>
      </c>
      <c r="N127" s="251">
        <v>0</v>
      </c>
      <c r="O127" s="251">
        <v>0</v>
      </c>
      <c r="P127" s="251">
        <v>0</v>
      </c>
      <c r="Q127" s="251">
        <v>0</v>
      </c>
      <c r="R127" s="251">
        <v>0</v>
      </c>
      <c r="S127" s="251">
        <v>0</v>
      </c>
      <c r="T127" s="251">
        <v>0</v>
      </c>
      <c r="U127" s="243"/>
      <c r="V127" s="243"/>
      <c r="W127" s="243"/>
      <c r="X127" s="243"/>
    </row>
    <row r="128" spans="1:24">
      <c r="A128" s="243">
        <v>127</v>
      </c>
      <c r="B128" s="243" t="s">
        <v>23</v>
      </c>
      <c r="C128" s="243" t="s">
        <v>22</v>
      </c>
      <c r="D128" s="250" t="s">
        <v>68</v>
      </c>
      <c r="E128" s="251">
        <v>0</v>
      </c>
      <c r="F128" s="251">
        <v>0</v>
      </c>
      <c r="G128" s="251">
        <v>0</v>
      </c>
      <c r="H128" s="251">
        <v>0</v>
      </c>
      <c r="I128" s="251">
        <v>0</v>
      </c>
      <c r="J128" s="251">
        <v>0</v>
      </c>
      <c r="K128" s="251">
        <v>0</v>
      </c>
      <c r="L128" s="251">
        <v>0</v>
      </c>
      <c r="M128" s="251">
        <v>0</v>
      </c>
      <c r="N128" s="251">
        <v>0</v>
      </c>
      <c r="O128" s="251">
        <v>0</v>
      </c>
      <c r="P128" s="251">
        <v>0</v>
      </c>
      <c r="Q128" s="251">
        <v>0</v>
      </c>
      <c r="R128" s="251">
        <v>0</v>
      </c>
      <c r="S128" s="251">
        <v>0</v>
      </c>
      <c r="T128" s="251">
        <v>0</v>
      </c>
      <c r="U128" s="243"/>
      <c r="V128" s="243"/>
      <c r="W128" s="243"/>
      <c r="X128" s="243"/>
    </row>
    <row r="129" spans="1:24">
      <c r="A129" s="248">
        <v>128</v>
      </c>
      <c r="B129" s="248" t="s">
        <v>23</v>
      </c>
      <c r="C129" s="248" t="s">
        <v>22</v>
      </c>
      <c r="D129" s="250" t="s">
        <v>1098</v>
      </c>
      <c r="E129" s="251">
        <v>0</v>
      </c>
      <c r="F129" s="251">
        <v>0</v>
      </c>
      <c r="G129" s="251">
        <v>0</v>
      </c>
      <c r="H129" s="251">
        <v>0</v>
      </c>
      <c r="I129" s="251">
        <v>0</v>
      </c>
      <c r="J129" s="251">
        <v>0</v>
      </c>
      <c r="K129" s="251">
        <v>0</v>
      </c>
      <c r="L129" s="251">
        <v>0</v>
      </c>
      <c r="M129" s="251">
        <v>0</v>
      </c>
      <c r="N129" s="251">
        <v>0</v>
      </c>
      <c r="O129" s="251">
        <v>0</v>
      </c>
      <c r="P129" s="251">
        <v>0</v>
      </c>
      <c r="Q129" s="251">
        <v>0</v>
      </c>
      <c r="R129" s="251">
        <v>0</v>
      </c>
      <c r="S129" s="251">
        <v>0</v>
      </c>
      <c r="T129" s="251">
        <v>0</v>
      </c>
      <c r="U129" s="248"/>
      <c r="V129" s="248"/>
      <c r="W129" s="248"/>
      <c r="X129" s="248"/>
    </row>
    <row r="130" spans="1:24">
      <c r="A130" s="248">
        <v>129</v>
      </c>
      <c r="B130" s="248" t="s">
        <v>23</v>
      </c>
      <c r="C130" s="248" t="s">
        <v>22</v>
      </c>
      <c r="D130" s="250" t="s">
        <v>233</v>
      </c>
      <c r="E130" s="251">
        <v>0</v>
      </c>
      <c r="F130" s="251">
        <v>0</v>
      </c>
      <c r="G130" s="251">
        <v>0</v>
      </c>
      <c r="H130" s="251">
        <v>0</v>
      </c>
      <c r="I130" s="251">
        <v>0</v>
      </c>
      <c r="J130" s="251">
        <v>0</v>
      </c>
      <c r="K130" s="251">
        <v>0</v>
      </c>
      <c r="L130" s="251">
        <v>0</v>
      </c>
      <c r="M130" s="251">
        <v>0</v>
      </c>
      <c r="N130" s="251">
        <v>0</v>
      </c>
      <c r="O130" s="251">
        <v>0</v>
      </c>
      <c r="P130" s="251">
        <v>0</v>
      </c>
      <c r="Q130" s="251">
        <v>0</v>
      </c>
      <c r="R130" s="251">
        <v>0</v>
      </c>
      <c r="S130" s="251">
        <v>0</v>
      </c>
      <c r="T130" s="251">
        <v>0</v>
      </c>
      <c r="U130" s="248"/>
      <c r="V130" s="248"/>
      <c r="W130" s="248"/>
      <c r="X130" s="248"/>
    </row>
    <row r="131" spans="1:24">
      <c r="A131" s="248">
        <v>130</v>
      </c>
      <c r="B131" s="248" t="s">
        <v>20</v>
      </c>
      <c r="C131" s="248" t="s">
        <v>19</v>
      </c>
      <c r="D131" s="250" t="s">
        <v>66</v>
      </c>
      <c r="E131" s="251">
        <v>0</v>
      </c>
      <c r="F131" s="251">
        <v>0</v>
      </c>
      <c r="G131" s="251">
        <v>0</v>
      </c>
      <c r="H131" s="251">
        <v>0</v>
      </c>
      <c r="I131" s="251">
        <v>0</v>
      </c>
      <c r="J131" s="251">
        <v>0</v>
      </c>
      <c r="K131" s="251">
        <v>0</v>
      </c>
      <c r="L131" s="251">
        <v>0</v>
      </c>
      <c r="M131" s="251">
        <v>0</v>
      </c>
      <c r="N131" s="251">
        <v>0</v>
      </c>
      <c r="O131" s="251">
        <v>0</v>
      </c>
      <c r="P131" s="251">
        <v>0</v>
      </c>
      <c r="Q131" s="251">
        <v>0</v>
      </c>
      <c r="R131" s="251">
        <v>0</v>
      </c>
      <c r="S131" s="251">
        <v>0</v>
      </c>
      <c r="T131" s="251">
        <v>0</v>
      </c>
      <c r="U131" s="248"/>
      <c r="V131" s="248"/>
      <c r="W131" s="248"/>
      <c r="X131" s="248"/>
    </row>
    <row r="132" spans="1:24">
      <c r="A132" s="248">
        <v>131</v>
      </c>
      <c r="B132" s="248" t="s">
        <v>20</v>
      </c>
      <c r="C132" s="248" t="s">
        <v>19</v>
      </c>
      <c r="D132" s="250" t="s">
        <v>1095</v>
      </c>
      <c r="E132" s="251">
        <v>0</v>
      </c>
      <c r="F132" s="251">
        <v>0</v>
      </c>
      <c r="G132" s="251">
        <v>0</v>
      </c>
      <c r="H132" s="251">
        <v>0</v>
      </c>
      <c r="I132" s="251">
        <v>0</v>
      </c>
      <c r="J132" s="251">
        <v>0</v>
      </c>
      <c r="K132" s="251">
        <v>0</v>
      </c>
      <c r="L132" s="251">
        <v>0</v>
      </c>
      <c r="M132" s="251">
        <v>0</v>
      </c>
      <c r="N132" s="251">
        <v>0</v>
      </c>
      <c r="O132" s="251">
        <v>0</v>
      </c>
      <c r="P132" s="251">
        <v>0</v>
      </c>
      <c r="Q132" s="251">
        <v>0</v>
      </c>
      <c r="R132" s="251">
        <v>0</v>
      </c>
      <c r="S132" s="251">
        <v>0</v>
      </c>
      <c r="T132" s="251">
        <v>0</v>
      </c>
      <c r="U132" s="248"/>
      <c r="V132" s="248"/>
      <c r="W132" s="248"/>
      <c r="X132" s="248"/>
    </row>
    <row r="133" spans="1:24">
      <c r="A133" s="248">
        <v>132</v>
      </c>
      <c r="B133" s="248" t="s">
        <v>20</v>
      </c>
      <c r="C133" s="248" t="s">
        <v>19</v>
      </c>
      <c r="D133" s="250" t="s">
        <v>1096</v>
      </c>
      <c r="E133" s="251">
        <v>0</v>
      </c>
      <c r="F133" s="251">
        <v>0</v>
      </c>
      <c r="G133" s="251">
        <v>0</v>
      </c>
      <c r="H133" s="251">
        <v>0</v>
      </c>
      <c r="I133" s="251">
        <v>0</v>
      </c>
      <c r="J133" s="251">
        <v>0</v>
      </c>
      <c r="K133" s="251">
        <v>0</v>
      </c>
      <c r="L133" s="251">
        <v>0</v>
      </c>
      <c r="M133" s="251">
        <v>0</v>
      </c>
      <c r="N133" s="251">
        <v>0</v>
      </c>
      <c r="O133" s="251">
        <v>0</v>
      </c>
      <c r="P133" s="251">
        <v>0</v>
      </c>
      <c r="Q133" s="251">
        <v>0</v>
      </c>
      <c r="R133" s="251">
        <v>0</v>
      </c>
      <c r="S133" s="251">
        <v>0</v>
      </c>
      <c r="T133" s="251">
        <v>0</v>
      </c>
      <c r="U133" s="248"/>
      <c r="V133" s="248"/>
      <c r="W133" s="248"/>
      <c r="X133" s="248"/>
    </row>
    <row r="134" spans="1:24">
      <c r="A134" s="248">
        <v>133</v>
      </c>
      <c r="B134" s="248" t="s">
        <v>20</v>
      </c>
      <c r="C134" s="248" t="s">
        <v>19</v>
      </c>
      <c r="D134" s="250" t="s">
        <v>1097</v>
      </c>
      <c r="E134" s="251">
        <v>0</v>
      </c>
      <c r="F134" s="251">
        <v>0</v>
      </c>
      <c r="G134" s="251">
        <v>0</v>
      </c>
      <c r="H134" s="251">
        <v>0</v>
      </c>
      <c r="I134" s="251">
        <v>0</v>
      </c>
      <c r="J134" s="251">
        <v>0</v>
      </c>
      <c r="K134" s="251">
        <v>0</v>
      </c>
      <c r="L134" s="251">
        <v>0</v>
      </c>
      <c r="M134" s="251">
        <v>0</v>
      </c>
      <c r="N134" s="251">
        <v>0</v>
      </c>
      <c r="O134" s="251">
        <v>0</v>
      </c>
      <c r="P134" s="251">
        <v>0</v>
      </c>
      <c r="Q134" s="251">
        <v>0</v>
      </c>
      <c r="R134" s="251">
        <v>0</v>
      </c>
      <c r="S134" s="251">
        <v>0</v>
      </c>
      <c r="T134" s="251">
        <v>0</v>
      </c>
      <c r="U134" s="248"/>
      <c r="V134" s="248"/>
      <c r="W134" s="248"/>
      <c r="X134" s="248"/>
    </row>
    <row r="135" spans="1:24">
      <c r="A135" s="248">
        <v>134</v>
      </c>
      <c r="B135" s="248" t="s">
        <v>20</v>
      </c>
      <c r="C135" s="248" t="s">
        <v>19</v>
      </c>
      <c r="D135" s="250" t="s">
        <v>67</v>
      </c>
      <c r="E135" s="251">
        <v>0</v>
      </c>
      <c r="F135" s="251">
        <v>0</v>
      </c>
      <c r="G135" s="251">
        <v>0</v>
      </c>
      <c r="H135" s="251">
        <v>0</v>
      </c>
      <c r="I135" s="251">
        <v>0</v>
      </c>
      <c r="J135" s="251">
        <v>0</v>
      </c>
      <c r="K135" s="251">
        <v>0</v>
      </c>
      <c r="L135" s="251">
        <v>0</v>
      </c>
      <c r="M135" s="251">
        <v>0</v>
      </c>
      <c r="N135" s="251">
        <v>0</v>
      </c>
      <c r="O135" s="251">
        <v>0</v>
      </c>
      <c r="P135" s="251">
        <v>0</v>
      </c>
      <c r="Q135" s="251">
        <v>0</v>
      </c>
      <c r="R135" s="251">
        <v>0</v>
      </c>
      <c r="S135" s="251">
        <v>0</v>
      </c>
      <c r="T135" s="251">
        <v>0</v>
      </c>
      <c r="U135" s="248"/>
      <c r="V135" s="248"/>
      <c r="W135" s="248"/>
      <c r="X135" s="248"/>
    </row>
    <row r="136" spans="1:24">
      <c r="A136" s="248">
        <v>135</v>
      </c>
      <c r="B136" s="248" t="s">
        <v>20</v>
      </c>
      <c r="C136" s="248" t="s">
        <v>19</v>
      </c>
      <c r="D136" s="250" t="s">
        <v>68</v>
      </c>
      <c r="E136" s="251">
        <v>0</v>
      </c>
      <c r="F136" s="251">
        <v>0</v>
      </c>
      <c r="G136" s="251">
        <v>0</v>
      </c>
      <c r="H136" s="251">
        <v>0</v>
      </c>
      <c r="I136" s="251">
        <v>0</v>
      </c>
      <c r="J136" s="251">
        <v>0</v>
      </c>
      <c r="K136" s="251">
        <v>0</v>
      </c>
      <c r="L136" s="251">
        <v>0</v>
      </c>
      <c r="M136" s="251">
        <v>0</v>
      </c>
      <c r="N136" s="251">
        <v>0</v>
      </c>
      <c r="O136" s="251">
        <v>0</v>
      </c>
      <c r="P136" s="251">
        <v>0</v>
      </c>
      <c r="Q136" s="251">
        <v>0</v>
      </c>
      <c r="R136" s="251">
        <v>0</v>
      </c>
      <c r="S136" s="251">
        <v>0</v>
      </c>
      <c r="T136" s="251">
        <v>0</v>
      </c>
      <c r="U136" s="248"/>
      <c r="V136" s="248"/>
      <c r="W136" s="248"/>
      <c r="X136" s="248"/>
    </row>
    <row r="137" spans="1:24">
      <c r="A137" s="248">
        <v>136</v>
      </c>
      <c r="B137" s="248" t="s">
        <v>20</v>
      </c>
      <c r="C137" s="248" t="s">
        <v>19</v>
      </c>
      <c r="D137" s="250" t="s">
        <v>1098</v>
      </c>
      <c r="E137" s="251">
        <v>0</v>
      </c>
      <c r="F137" s="251">
        <v>0</v>
      </c>
      <c r="G137" s="251">
        <v>0</v>
      </c>
      <c r="H137" s="251">
        <v>0</v>
      </c>
      <c r="I137" s="251">
        <v>0</v>
      </c>
      <c r="J137" s="251">
        <v>0</v>
      </c>
      <c r="K137" s="251">
        <v>0</v>
      </c>
      <c r="L137" s="251">
        <v>0</v>
      </c>
      <c r="M137" s="251">
        <v>0</v>
      </c>
      <c r="N137" s="251">
        <v>0</v>
      </c>
      <c r="O137" s="251">
        <v>0</v>
      </c>
      <c r="P137" s="251">
        <v>0</v>
      </c>
      <c r="Q137" s="251">
        <v>0</v>
      </c>
      <c r="R137" s="251">
        <v>0</v>
      </c>
      <c r="S137" s="251">
        <v>0</v>
      </c>
      <c r="T137" s="251">
        <v>0</v>
      </c>
      <c r="U137" s="248"/>
      <c r="V137" s="248"/>
      <c r="W137" s="248"/>
      <c r="X137" s="248"/>
    </row>
    <row r="138" spans="1:24">
      <c r="A138" s="248">
        <v>137</v>
      </c>
      <c r="B138" s="248" t="s">
        <v>20</v>
      </c>
      <c r="C138" s="248" t="s">
        <v>19</v>
      </c>
      <c r="D138" s="250" t="s">
        <v>233</v>
      </c>
      <c r="E138" s="251">
        <v>0</v>
      </c>
      <c r="F138" s="251">
        <v>0</v>
      </c>
      <c r="G138" s="251">
        <v>0</v>
      </c>
      <c r="H138" s="251">
        <v>0</v>
      </c>
      <c r="I138" s="251">
        <v>0</v>
      </c>
      <c r="J138" s="251">
        <v>0</v>
      </c>
      <c r="K138" s="251">
        <v>0</v>
      </c>
      <c r="L138" s="251">
        <v>0</v>
      </c>
      <c r="M138" s="251">
        <v>0</v>
      </c>
      <c r="N138" s="251">
        <v>0</v>
      </c>
      <c r="O138" s="251">
        <v>0</v>
      </c>
      <c r="P138" s="251">
        <v>0</v>
      </c>
      <c r="Q138" s="251">
        <v>0</v>
      </c>
      <c r="R138" s="251">
        <v>0</v>
      </c>
      <c r="S138" s="251">
        <v>0</v>
      </c>
      <c r="T138" s="251">
        <v>0</v>
      </c>
      <c r="U138" s="248"/>
      <c r="V138" s="248"/>
      <c r="W138" s="248"/>
      <c r="X138" s="248"/>
    </row>
    <row r="139" spans="1:24">
      <c r="A139" s="248">
        <v>138</v>
      </c>
      <c r="B139" s="248" t="s">
        <v>233</v>
      </c>
      <c r="C139" s="248" t="s">
        <v>233</v>
      </c>
      <c r="D139" s="250" t="s">
        <v>66</v>
      </c>
      <c r="E139" s="251">
        <v>0</v>
      </c>
      <c r="F139" s="251">
        <v>0</v>
      </c>
      <c r="G139" s="251">
        <v>0</v>
      </c>
      <c r="H139" s="251">
        <v>0</v>
      </c>
      <c r="I139" s="251">
        <v>0</v>
      </c>
      <c r="J139" s="251">
        <v>0</v>
      </c>
      <c r="K139" s="251">
        <v>0</v>
      </c>
      <c r="L139" s="251">
        <v>0</v>
      </c>
      <c r="M139" s="251">
        <v>0</v>
      </c>
      <c r="N139" s="251">
        <v>0</v>
      </c>
      <c r="O139" s="251">
        <v>0</v>
      </c>
      <c r="P139" s="251">
        <v>0</v>
      </c>
      <c r="Q139" s="251">
        <v>0</v>
      </c>
      <c r="R139" s="251">
        <v>0</v>
      </c>
      <c r="S139" s="251">
        <v>0</v>
      </c>
      <c r="T139" s="251">
        <v>0</v>
      </c>
      <c r="U139" s="248"/>
      <c r="V139" s="248"/>
      <c r="W139" s="248"/>
      <c r="X139" s="248"/>
    </row>
    <row r="140" spans="1:24">
      <c r="A140" s="248">
        <v>139</v>
      </c>
      <c r="B140" s="248" t="s">
        <v>233</v>
      </c>
      <c r="C140" s="248" t="s">
        <v>233</v>
      </c>
      <c r="D140" s="250" t="s">
        <v>1095</v>
      </c>
      <c r="E140" s="251">
        <v>0</v>
      </c>
      <c r="F140" s="251">
        <v>0</v>
      </c>
      <c r="G140" s="251">
        <v>0</v>
      </c>
      <c r="H140" s="251">
        <v>0</v>
      </c>
      <c r="I140" s="251">
        <v>0</v>
      </c>
      <c r="J140" s="251">
        <v>0</v>
      </c>
      <c r="K140" s="251">
        <v>0</v>
      </c>
      <c r="L140" s="251">
        <v>0</v>
      </c>
      <c r="M140" s="251">
        <v>0</v>
      </c>
      <c r="N140" s="251">
        <v>0</v>
      </c>
      <c r="O140" s="251">
        <v>0</v>
      </c>
      <c r="P140" s="251">
        <v>0</v>
      </c>
      <c r="Q140" s="251">
        <v>0</v>
      </c>
      <c r="R140" s="251">
        <v>0</v>
      </c>
      <c r="S140" s="251">
        <v>0</v>
      </c>
      <c r="T140" s="251">
        <v>0</v>
      </c>
      <c r="U140" s="248"/>
      <c r="V140" s="248"/>
      <c r="W140" s="248"/>
      <c r="X140" s="248"/>
    </row>
    <row r="141" spans="1:24">
      <c r="A141" s="248">
        <v>140</v>
      </c>
      <c r="B141" s="248" t="s">
        <v>233</v>
      </c>
      <c r="C141" s="248" t="s">
        <v>233</v>
      </c>
      <c r="D141" s="250" t="s">
        <v>1096</v>
      </c>
      <c r="E141" s="251">
        <v>0</v>
      </c>
      <c r="F141" s="251">
        <v>0</v>
      </c>
      <c r="G141" s="251">
        <v>0</v>
      </c>
      <c r="H141" s="251">
        <v>0</v>
      </c>
      <c r="I141" s="251">
        <v>0</v>
      </c>
      <c r="J141" s="251">
        <v>0</v>
      </c>
      <c r="K141" s="251">
        <v>0</v>
      </c>
      <c r="L141" s="251">
        <v>0</v>
      </c>
      <c r="M141" s="251">
        <v>0</v>
      </c>
      <c r="N141" s="251">
        <v>0</v>
      </c>
      <c r="O141" s="251">
        <v>0</v>
      </c>
      <c r="P141" s="251">
        <v>0</v>
      </c>
      <c r="Q141" s="251">
        <v>0</v>
      </c>
      <c r="R141" s="251">
        <v>0</v>
      </c>
      <c r="S141" s="251">
        <v>0</v>
      </c>
      <c r="T141" s="251">
        <v>0</v>
      </c>
      <c r="U141" s="248"/>
      <c r="V141" s="248"/>
      <c r="W141" s="248"/>
      <c r="X141" s="248"/>
    </row>
    <row r="142" spans="1:24">
      <c r="A142" s="248">
        <v>141</v>
      </c>
      <c r="B142" s="248" t="s">
        <v>233</v>
      </c>
      <c r="C142" s="248" t="s">
        <v>233</v>
      </c>
      <c r="D142" s="250" t="s">
        <v>1097</v>
      </c>
      <c r="E142" s="251">
        <v>0</v>
      </c>
      <c r="F142" s="251">
        <v>0</v>
      </c>
      <c r="G142" s="251">
        <v>0</v>
      </c>
      <c r="H142" s="251">
        <v>0</v>
      </c>
      <c r="I142" s="251">
        <v>0</v>
      </c>
      <c r="J142" s="251">
        <v>0</v>
      </c>
      <c r="K142" s="251">
        <v>0</v>
      </c>
      <c r="L142" s="251">
        <v>0</v>
      </c>
      <c r="M142" s="251">
        <v>0</v>
      </c>
      <c r="N142" s="251">
        <v>0</v>
      </c>
      <c r="O142" s="251">
        <v>0</v>
      </c>
      <c r="P142" s="251">
        <v>0</v>
      </c>
      <c r="Q142" s="251">
        <v>0</v>
      </c>
      <c r="R142" s="251">
        <v>0</v>
      </c>
      <c r="S142" s="251">
        <v>0</v>
      </c>
      <c r="T142" s="251">
        <v>0</v>
      </c>
      <c r="U142" s="248"/>
      <c r="V142" s="248"/>
      <c r="W142" s="248"/>
      <c r="X142" s="248"/>
    </row>
    <row r="143" spans="1:24">
      <c r="A143" s="248">
        <v>142</v>
      </c>
      <c r="B143" s="248" t="s">
        <v>233</v>
      </c>
      <c r="C143" s="248" t="s">
        <v>233</v>
      </c>
      <c r="D143" s="250" t="s">
        <v>67</v>
      </c>
      <c r="E143" s="251">
        <v>0</v>
      </c>
      <c r="F143" s="251">
        <v>0</v>
      </c>
      <c r="G143" s="251">
        <v>0</v>
      </c>
      <c r="H143" s="251">
        <v>0</v>
      </c>
      <c r="I143" s="251">
        <v>0</v>
      </c>
      <c r="J143" s="251">
        <v>0</v>
      </c>
      <c r="K143" s="251">
        <v>0</v>
      </c>
      <c r="L143" s="251">
        <v>0</v>
      </c>
      <c r="M143" s="251">
        <v>0</v>
      </c>
      <c r="N143" s="251">
        <v>0</v>
      </c>
      <c r="O143" s="251">
        <v>0</v>
      </c>
      <c r="P143" s="251">
        <v>0</v>
      </c>
      <c r="Q143" s="251">
        <v>0</v>
      </c>
      <c r="R143" s="251">
        <v>0</v>
      </c>
      <c r="S143" s="251">
        <v>0</v>
      </c>
      <c r="T143" s="251">
        <v>0</v>
      </c>
      <c r="U143" s="248"/>
      <c r="V143" s="248"/>
      <c r="W143" s="248"/>
      <c r="X143" s="248"/>
    </row>
    <row r="144" spans="1:24">
      <c r="A144" s="248">
        <v>143</v>
      </c>
      <c r="B144" s="248" t="s">
        <v>233</v>
      </c>
      <c r="C144" s="248" t="s">
        <v>233</v>
      </c>
      <c r="D144" s="250" t="s">
        <v>68</v>
      </c>
      <c r="E144" s="251">
        <v>0</v>
      </c>
      <c r="F144" s="251">
        <v>0</v>
      </c>
      <c r="G144" s="251">
        <v>0</v>
      </c>
      <c r="H144" s="251">
        <v>0</v>
      </c>
      <c r="I144" s="251">
        <v>0</v>
      </c>
      <c r="J144" s="251">
        <v>0</v>
      </c>
      <c r="K144" s="251">
        <v>0</v>
      </c>
      <c r="L144" s="251">
        <v>0</v>
      </c>
      <c r="M144" s="251">
        <v>0</v>
      </c>
      <c r="N144" s="251">
        <v>0</v>
      </c>
      <c r="O144" s="251">
        <v>0</v>
      </c>
      <c r="P144" s="251">
        <v>0</v>
      </c>
      <c r="Q144" s="251">
        <v>0</v>
      </c>
      <c r="R144" s="251">
        <v>0</v>
      </c>
      <c r="S144" s="251">
        <v>0</v>
      </c>
      <c r="T144" s="251">
        <v>0</v>
      </c>
      <c r="U144" s="248"/>
      <c r="V144" s="248"/>
      <c r="W144" s="248"/>
      <c r="X144" s="248"/>
    </row>
    <row r="145" spans="1:24">
      <c r="A145" s="248">
        <v>144</v>
      </c>
      <c r="B145" s="248" t="s">
        <v>233</v>
      </c>
      <c r="C145" s="248" t="s">
        <v>233</v>
      </c>
      <c r="D145" s="250" t="s">
        <v>1098</v>
      </c>
      <c r="E145" s="251">
        <v>0</v>
      </c>
      <c r="F145" s="251">
        <v>0</v>
      </c>
      <c r="G145" s="251">
        <v>0</v>
      </c>
      <c r="H145" s="251">
        <v>0</v>
      </c>
      <c r="I145" s="251">
        <v>0</v>
      </c>
      <c r="J145" s="251">
        <v>0</v>
      </c>
      <c r="K145" s="251">
        <v>0</v>
      </c>
      <c r="L145" s="251">
        <v>0</v>
      </c>
      <c r="M145" s="251">
        <v>0</v>
      </c>
      <c r="N145" s="251">
        <v>0</v>
      </c>
      <c r="O145" s="251">
        <v>0</v>
      </c>
      <c r="P145" s="251">
        <v>0</v>
      </c>
      <c r="Q145" s="251">
        <v>0</v>
      </c>
      <c r="R145" s="251">
        <v>0</v>
      </c>
      <c r="S145" s="251">
        <v>0</v>
      </c>
      <c r="T145" s="251">
        <v>0</v>
      </c>
      <c r="U145" s="248"/>
      <c r="V145" s="248"/>
      <c r="W145" s="248"/>
      <c r="X145" s="248"/>
    </row>
    <row r="146" spans="1:24">
      <c r="A146" s="248">
        <v>145</v>
      </c>
      <c r="B146" s="248" t="s">
        <v>233</v>
      </c>
      <c r="C146" s="248" t="s">
        <v>233</v>
      </c>
      <c r="D146" s="250" t="s">
        <v>233</v>
      </c>
      <c r="E146" s="251">
        <v>0</v>
      </c>
      <c r="F146" s="251">
        <v>0</v>
      </c>
      <c r="G146" s="251">
        <v>0</v>
      </c>
      <c r="H146" s="251">
        <v>0</v>
      </c>
      <c r="I146" s="251">
        <v>0</v>
      </c>
      <c r="J146" s="251">
        <v>0</v>
      </c>
      <c r="K146" s="251">
        <v>0</v>
      </c>
      <c r="L146" s="251">
        <v>0</v>
      </c>
      <c r="M146" s="251">
        <v>0</v>
      </c>
      <c r="N146" s="251">
        <v>0</v>
      </c>
      <c r="O146" s="251">
        <v>0</v>
      </c>
      <c r="P146" s="251">
        <v>0</v>
      </c>
      <c r="Q146" s="251">
        <v>0</v>
      </c>
      <c r="R146" s="251">
        <v>0</v>
      </c>
      <c r="S146" s="251">
        <v>0</v>
      </c>
      <c r="T146" s="251">
        <v>0</v>
      </c>
      <c r="U146" s="248"/>
      <c r="V146" s="248"/>
      <c r="W146" s="248"/>
      <c r="X146" s="248"/>
    </row>
  </sheetData>
  <phoneticPr fontId="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46"/>
  <sheetViews>
    <sheetView workbookViewId="0"/>
  </sheetViews>
  <sheetFormatPr defaultRowHeight="14.25"/>
  <cols>
    <col min="2" max="2" width="10.75" bestFit="1" customWidth="1"/>
    <col min="3" max="3" width="18.25" bestFit="1" customWidth="1"/>
    <col min="4" max="4" width="14.125" bestFit="1" customWidth="1"/>
    <col min="5" max="18" width="12.25" bestFit="1" customWidth="1"/>
  </cols>
  <sheetData>
    <row r="1" spans="1:28">
      <c r="A1" t="s">
        <v>85</v>
      </c>
      <c r="B1" t="s">
        <v>86</v>
      </c>
      <c r="C1" t="s">
        <v>87</v>
      </c>
      <c r="D1" t="s">
        <v>88</v>
      </c>
      <c r="E1" t="s">
        <v>89</v>
      </c>
      <c r="F1" t="s">
        <v>96</v>
      </c>
      <c r="G1" t="s">
        <v>97</v>
      </c>
      <c r="H1" t="s">
        <v>98</v>
      </c>
      <c r="I1" t="s">
        <v>99</v>
      </c>
      <c r="J1" t="s">
        <v>100</v>
      </c>
      <c r="K1" t="s">
        <v>101</v>
      </c>
      <c r="L1" t="s">
        <v>102</v>
      </c>
      <c r="M1" t="s">
        <v>103</v>
      </c>
      <c r="N1" t="s">
        <v>104</v>
      </c>
      <c r="O1" t="s">
        <v>455</v>
      </c>
      <c r="P1" t="s">
        <v>888</v>
      </c>
      <c r="Q1" t="s">
        <v>889</v>
      </c>
      <c r="R1" t="s">
        <v>890</v>
      </c>
      <c r="S1" t="s">
        <v>891</v>
      </c>
      <c r="T1" t="s">
        <v>892</v>
      </c>
      <c r="U1" t="s">
        <v>893</v>
      </c>
      <c r="V1" t="s">
        <v>894</v>
      </c>
      <c r="W1" t="s">
        <v>895</v>
      </c>
      <c r="X1" t="s">
        <v>896</v>
      </c>
      <c r="Y1" t="s">
        <v>897</v>
      </c>
      <c r="Z1" t="s">
        <v>898</v>
      </c>
      <c r="AA1" t="s">
        <v>899</v>
      </c>
      <c r="AB1" t="s">
        <v>900</v>
      </c>
    </row>
    <row r="2" spans="1:28">
      <c r="A2">
        <v>1</v>
      </c>
      <c r="B2" t="s">
        <v>920</v>
      </c>
      <c r="C2" t="s">
        <v>82</v>
      </c>
      <c r="D2" s="80" t="s">
        <v>902</v>
      </c>
      <c r="E2" t="s">
        <v>904</v>
      </c>
      <c r="F2" t="s">
        <v>905</v>
      </c>
      <c r="G2" t="s">
        <v>906</v>
      </c>
      <c r="H2" t="s">
        <v>907</v>
      </c>
      <c r="I2" t="s">
        <v>908</v>
      </c>
      <c r="J2" t="s">
        <v>909</v>
      </c>
      <c r="K2" t="s">
        <v>910</v>
      </c>
      <c r="L2" t="s">
        <v>911</v>
      </c>
      <c r="M2" t="s">
        <v>912</v>
      </c>
      <c r="N2" t="s">
        <v>913</v>
      </c>
      <c r="O2" t="s">
        <v>914</v>
      </c>
      <c r="P2" t="s">
        <v>915</v>
      </c>
      <c r="Q2" t="s">
        <v>916</v>
      </c>
      <c r="R2" t="s">
        <v>917</v>
      </c>
      <c r="S2" t="s">
        <v>921</v>
      </c>
      <c r="T2" t="s">
        <v>922</v>
      </c>
      <c r="U2" t="s">
        <v>923</v>
      </c>
      <c r="V2" t="s">
        <v>924</v>
      </c>
      <c r="W2" t="s">
        <v>925</v>
      </c>
      <c r="X2" t="s">
        <v>926</v>
      </c>
      <c r="Y2" t="s">
        <v>927</v>
      </c>
      <c r="Z2" t="s">
        <v>928</v>
      </c>
      <c r="AA2" t="s">
        <v>929</v>
      </c>
      <c r="AB2" t="s">
        <v>930</v>
      </c>
    </row>
    <row r="3" spans="1:28">
      <c r="A3">
        <v>2</v>
      </c>
      <c r="B3" t="s">
        <v>36</v>
      </c>
      <c r="C3" t="s">
        <v>36</v>
      </c>
      <c r="D3" s="183" t="s">
        <v>66</v>
      </c>
      <c r="E3" t="s">
        <v>918</v>
      </c>
      <c r="F3" t="s">
        <v>918</v>
      </c>
      <c r="G3" t="s">
        <v>918</v>
      </c>
      <c r="H3" t="s">
        <v>918</v>
      </c>
      <c r="I3" t="s">
        <v>918</v>
      </c>
      <c r="J3" t="s">
        <v>918</v>
      </c>
      <c r="K3" t="s">
        <v>918</v>
      </c>
      <c r="L3" t="s">
        <v>918</v>
      </c>
      <c r="M3" t="s">
        <v>918</v>
      </c>
      <c r="N3" t="s">
        <v>918</v>
      </c>
      <c r="O3" t="s">
        <v>918</v>
      </c>
      <c r="P3" t="s">
        <v>918</v>
      </c>
      <c r="Q3" t="s">
        <v>918</v>
      </c>
      <c r="R3" t="s">
        <v>918</v>
      </c>
      <c r="S3" t="s">
        <v>918</v>
      </c>
      <c r="T3" t="s">
        <v>918</v>
      </c>
      <c r="U3" t="s">
        <v>918</v>
      </c>
      <c r="V3" t="s">
        <v>918</v>
      </c>
      <c r="W3" t="s">
        <v>918</v>
      </c>
      <c r="X3" t="s">
        <v>918</v>
      </c>
      <c r="Y3" t="s">
        <v>918</v>
      </c>
      <c r="Z3" t="s">
        <v>918</v>
      </c>
      <c r="AA3" t="s">
        <v>918</v>
      </c>
      <c r="AB3" t="s">
        <v>918</v>
      </c>
    </row>
    <row r="4" spans="1:28">
      <c r="A4">
        <v>3</v>
      </c>
      <c r="B4" t="s">
        <v>36</v>
      </c>
      <c r="C4" t="s">
        <v>36</v>
      </c>
      <c r="D4" s="183" t="s">
        <v>1060</v>
      </c>
      <c r="E4" t="s">
        <v>918</v>
      </c>
      <c r="F4" t="s">
        <v>918</v>
      </c>
      <c r="G4" t="s">
        <v>918</v>
      </c>
      <c r="H4" t="s">
        <v>918</v>
      </c>
      <c r="I4" t="s">
        <v>918</v>
      </c>
      <c r="J4" t="s">
        <v>918</v>
      </c>
      <c r="K4" t="s">
        <v>918</v>
      </c>
      <c r="L4" t="s">
        <v>918</v>
      </c>
      <c r="M4" t="s">
        <v>918</v>
      </c>
      <c r="N4" t="s">
        <v>918</v>
      </c>
      <c r="O4" t="s">
        <v>918</v>
      </c>
      <c r="P4" t="s">
        <v>918</v>
      </c>
      <c r="Q4" t="s">
        <v>918</v>
      </c>
      <c r="R4" t="s">
        <v>918</v>
      </c>
      <c r="S4" t="s">
        <v>918</v>
      </c>
      <c r="T4" t="s">
        <v>918</v>
      </c>
      <c r="U4" t="s">
        <v>918</v>
      </c>
      <c r="V4" t="s">
        <v>918</v>
      </c>
      <c r="W4" t="s">
        <v>918</v>
      </c>
      <c r="X4" t="s">
        <v>918</v>
      </c>
      <c r="Y4" t="s">
        <v>918</v>
      </c>
      <c r="Z4" t="s">
        <v>918</v>
      </c>
      <c r="AA4" t="s">
        <v>918</v>
      </c>
      <c r="AB4" t="s">
        <v>918</v>
      </c>
    </row>
    <row r="5" spans="1:28">
      <c r="A5">
        <v>4</v>
      </c>
      <c r="B5" t="s">
        <v>36</v>
      </c>
      <c r="C5" t="s">
        <v>36</v>
      </c>
      <c r="D5" s="183" t="s">
        <v>1061</v>
      </c>
      <c r="E5" t="s">
        <v>918</v>
      </c>
      <c r="F5" t="s">
        <v>918</v>
      </c>
      <c r="G5" t="s">
        <v>918</v>
      </c>
      <c r="H5" t="s">
        <v>918</v>
      </c>
      <c r="I5" t="s">
        <v>918</v>
      </c>
      <c r="J5" t="s">
        <v>918</v>
      </c>
      <c r="K5" t="s">
        <v>918</v>
      </c>
      <c r="L5" t="s">
        <v>918</v>
      </c>
      <c r="M5" t="s">
        <v>918</v>
      </c>
      <c r="N5" t="s">
        <v>918</v>
      </c>
      <c r="O5" t="s">
        <v>918</v>
      </c>
      <c r="P5" t="s">
        <v>918</v>
      </c>
      <c r="Q5" t="s">
        <v>918</v>
      </c>
      <c r="R5" t="s">
        <v>918</v>
      </c>
      <c r="S5" t="s">
        <v>918</v>
      </c>
      <c r="T5" t="s">
        <v>918</v>
      </c>
      <c r="U5" t="s">
        <v>918</v>
      </c>
      <c r="V5" t="s">
        <v>918</v>
      </c>
      <c r="W5" t="s">
        <v>918</v>
      </c>
      <c r="X5" t="s">
        <v>918</v>
      </c>
      <c r="Y5" t="s">
        <v>918</v>
      </c>
      <c r="Z5" t="s">
        <v>918</v>
      </c>
      <c r="AA5" t="s">
        <v>918</v>
      </c>
      <c r="AB5" t="s">
        <v>918</v>
      </c>
    </row>
    <row r="6" spans="1:28">
      <c r="A6">
        <v>5</v>
      </c>
      <c r="B6" t="s">
        <v>36</v>
      </c>
      <c r="C6" t="s">
        <v>36</v>
      </c>
      <c r="D6" s="183" t="s">
        <v>1062</v>
      </c>
      <c r="E6" t="s">
        <v>918</v>
      </c>
      <c r="F6" t="s">
        <v>918</v>
      </c>
      <c r="G6" t="s">
        <v>918</v>
      </c>
      <c r="H6" t="s">
        <v>918</v>
      </c>
      <c r="I6" t="s">
        <v>918</v>
      </c>
      <c r="J6" t="s">
        <v>918</v>
      </c>
      <c r="K6" t="s">
        <v>918</v>
      </c>
      <c r="L6" t="s">
        <v>918</v>
      </c>
      <c r="M6" t="s">
        <v>918</v>
      </c>
      <c r="N6" t="s">
        <v>918</v>
      </c>
      <c r="O6" t="s">
        <v>918</v>
      </c>
      <c r="P6" t="s">
        <v>918</v>
      </c>
      <c r="Q6" t="s">
        <v>918</v>
      </c>
      <c r="R6" t="s">
        <v>918</v>
      </c>
      <c r="S6" t="s">
        <v>918</v>
      </c>
      <c r="T6" t="s">
        <v>918</v>
      </c>
      <c r="U6" t="s">
        <v>918</v>
      </c>
      <c r="V6" t="s">
        <v>918</v>
      </c>
      <c r="W6" t="s">
        <v>918</v>
      </c>
      <c r="X6" t="s">
        <v>918</v>
      </c>
      <c r="Y6" t="s">
        <v>918</v>
      </c>
      <c r="Z6" t="s">
        <v>918</v>
      </c>
      <c r="AA6" t="s">
        <v>918</v>
      </c>
      <c r="AB6" t="s">
        <v>918</v>
      </c>
    </row>
    <row r="7" spans="1:28">
      <c r="A7">
        <v>6</v>
      </c>
      <c r="B7" t="s">
        <v>36</v>
      </c>
      <c r="C7" t="s">
        <v>36</v>
      </c>
      <c r="D7" s="183" t="s">
        <v>67</v>
      </c>
      <c r="E7" t="s">
        <v>918</v>
      </c>
      <c r="F7" t="s">
        <v>918</v>
      </c>
      <c r="G7" t="s">
        <v>918</v>
      </c>
      <c r="H7" t="s">
        <v>918</v>
      </c>
      <c r="I7" t="s">
        <v>918</v>
      </c>
      <c r="J7" t="s">
        <v>918</v>
      </c>
      <c r="K7" t="s">
        <v>918</v>
      </c>
      <c r="L7" t="s">
        <v>918</v>
      </c>
      <c r="M7" t="s">
        <v>918</v>
      </c>
      <c r="N7" t="s">
        <v>918</v>
      </c>
      <c r="O7" t="s">
        <v>918</v>
      </c>
      <c r="P7" t="s">
        <v>918</v>
      </c>
      <c r="Q7" t="s">
        <v>918</v>
      </c>
      <c r="R7" t="s">
        <v>918</v>
      </c>
      <c r="S7" t="s">
        <v>918</v>
      </c>
      <c r="T7" t="s">
        <v>918</v>
      </c>
      <c r="U7" t="s">
        <v>918</v>
      </c>
      <c r="V7" t="s">
        <v>918</v>
      </c>
      <c r="W7" t="s">
        <v>918</v>
      </c>
      <c r="X7" t="s">
        <v>918</v>
      </c>
      <c r="Y7" t="s">
        <v>918</v>
      </c>
      <c r="Z7" t="s">
        <v>918</v>
      </c>
      <c r="AA7" t="s">
        <v>918</v>
      </c>
      <c r="AB7" t="s">
        <v>918</v>
      </c>
    </row>
    <row r="8" spans="1:28">
      <c r="A8">
        <v>7</v>
      </c>
      <c r="B8" t="s">
        <v>36</v>
      </c>
      <c r="C8" t="s">
        <v>36</v>
      </c>
      <c r="D8" s="183" t="s">
        <v>68</v>
      </c>
      <c r="E8" t="s">
        <v>918</v>
      </c>
      <c r="F8" t="s">
        <v>918</v>
      </c>
      <c r="G8" t="s">
        <v>918</v>
      </c>
      <c r="H8" t="s">
        <v>918</v>
      </c>
      <c r="I8" t="s">
        <v>918</v>
      </c>
      <c r="J8" t="s">
        <v>918</v>
      </c>
      <c r="K8" t="s">
        <v>918</v>
      </c>
      <c r="L8" t="s">
        <v>918</v>
      </c>
      <c r="M8" t="s">
        <v>918</v>
      </c>
      <c r="N8" t="s">
        <v>918</v>
      </c>
      <c r="O8" t="s">
        <v>918</v>
      </c>
      <c r="P8" t="s">
        <v>918</v>
      </c>
      <c r="Q8" t="s">
        <v>918</v>
      </c>
      <c r="R8" t="s">
        <v>918</v>
      </c>
      <c r="S8" t="s">
        <v>918</v>
      </c>
      <c r="T8" t="s">
        <v>918</v>
      </c>
      <c r="U8" t="s">
        <v>918</v>
      </c>
      <c r="V8" t="s">
        <v>918</v>
      </c>
      <c r="W8" t="s">
        <v>918</v>
      </c>
      <c r="X8" t="s">
        <v>918</v>
      </c>
      <c r="Y8" t="s">
        <v>918</v>
      </c>
      <c r="Z8" t="s">
        <v>918</v>
      </c>
      <c r="AA8" t="s">
        <v>918</v>
      </c>
      <c r="AB8" t="s">
        <v>918</v>
      </c>
    </row>
    <row r="9" spans="1:28">
      <c r="A9">
        <v>8</v>
      </c>
      <c r="B9" t="s">
        <v>36</v>
      </c>
      <c r="C9" t="s">
        <v>36</v>
      </c>
      <c r="D9" s="188" t="s">
        <v>1064</v>
      </c>
      <c r="E9" t="s">
        <v>918</v>
      </c>
      <c r="F9" t="s">
        <v>918</v>
      </c>
      <c r="G9" t="s">
        <v>918</v>
      </c>
      <c r="H9" t="s">
        <v>918</v>
      </c>
      <c r="I9" t="s">
        <v>918</v>
      </c>
      <c r="J9" t="s">
        <v>918</v>
      </c>
      <c r="K9" t="s">
        <v>918</v>
      </c>
      <c r="L9" t="s">
        <v>918</v>
      </c>
      <c r="M9" t="s">
        <v>918</v>
      </c>
      <c r="N9" t="s">
        <v>918</v>
      </c>
      <c r="O9" t="s">
        <v>918</v>
      </c>
      <c r="P9" t="s">
        <v>918</v>
      </c>
      <c r="Q9" t="s">
        <v>918</v>
      </c>
      <c r="R9" t="s">
        <v>918</v>
      </c>
      <c r="S9" t="s">
        <v>918</v>
      </c>
      <c r="T9" t="s">
        <v>918</v>
      </c>
      <c r="U9" t="s">
        <v>918</v>
      </c>
      <c r="V9" t="s">
        <v>918</v>
      </c>
      <c r="W9" t="s">
        <v>918</v>
      </c>
      <c r="X9" t="s">
        <v>918</v>
      </c>
      <c r="Y9" t="s">
        <v>918</v>
      </c>
      <c r="Z9" t="s">
        <v>918</v>
      </c>
      <c r="AA9" t="s">
        <v>918</v>
      </c>
      <c r="AB9" t="s">
        <v>918</v>
      </c>
    </row>
    <row r="10" spans="1:28">
      <c r="A10">
        <v>9</v>
      </c>
      <c r="B10" t="s">
        <v>36</v>
      </c>
      <c r="C10" t="s">
        <v>36</v>
      </c>
      <c r="D10" s="183" t="s">
        <v>233</v>
      </c>
      <c r="E10" t="s">
        <v>918</v>
      </c>
      <c r="F10" t="s">
        <v>918</v>
      </c>
      <c r="G10" t="s">
        <v>918</v>
      </c>
      <c r="H10" t="s">
        <v>918</v>
      </c>
      <c r="I10" t="s">
        <v>918</v>
      </c>
      <c r="J10" t="s">
        <v>918</v>
      </c>
      <c r="K10" t="s">
        <v>918</v>
      </c>
      <c r="L10" t="s">
        <v>918</v>
      </c>
      <c r="M10" t="s">
        <v>918</v>
      </c>
      <c r="N10" t="s">
        <v>918</v>
      </c>
      <c r="O10" t="s">
        <v>918</v>
      </c>
      <c r="P10" t="s">
        <v>918</v>
      </c>
      <c r="Q10" t="s">
        <v>918</v>
      </c>
      <c r="R10" t="s">
        <v>918</v>
      </c>
      <c r="S10" t="s">
        <v>918</v>
      </c>
      <c r="T10" t="s">
        <v>918</v>
      </c>
      <c r="U10" t="s">
        <v>918</v>
      </c>
      <c r="V10" t="s">
        <v>918</v>
      </c>
      <c r="W10" t="s">
        <v>918</v>
      </c>
      <c r="X10" t="s">
        <v>918</v>
      </c>
      <c r="Y10" t="s">
        <v>918</v>
      </c>
      <c r="Z10" t="s">
        <v>918</v>
      </c>
      <c r="AA10" t="s">
        <v>918</v>
      </c>
      <c r="AB10" t="s">
        <v>918</v>
      </c>
    </row>
    <row r="11" spans="1:28">
      <c r="A11">
        <v>10</v>
      </c>
      <c r="B11" t="s">
        <v>34</v>
      </c>
      <c r="C11" t="s">
        <v>886</v>
      </c>
      <c r="D11" s="183" t="s">
        <v>66</v>
      </c>
      <c r="E11" t="s">
        <v>918</v>
      </c>
      <c r="F11" t="s">
        <v>918</v>
      </c>
      <c r="G11" t="s">
        <v>918</v>
      </c>
      <c r="H11" t="s">
        <v>918</v>
      </c>
      <c r="I11" t="s">
        <v>918</v>
      </c>
      <c r="J11" t="s">
        <v>918</v>
      </c>
      <c r="K11" t="s">
        <v>918</v>
      </c>
      <c r="L11" t="s">
        <v>918</v>
      </c>
      <c r="M11" t="s">
        <v>918</v>
      </c>
      <c r="N11" t="s">
        <v>918</v>
      </c>
      <c r="O11" t="s">
        <v>918</v>
      </c>
      <c r="P11" t="s">
        <v>918</v>
      </c>
      <c r="Q11" t="s">
        <v>918</v>
      </c>
      <c r="R11" t="s">
        <v>918</v>
      </c>
      <c r="S11" t="s">
        <v>918</v>
      </c>
      <c r="T11" t="s">
        <v>918</v>
      </c>
      <c r="U11" t="s">
        <v>918</v>
      </c>
      <c r="V11" t="s">
        <v>918</v>
      </c>
      <c r="W11" t="s">
        <v>918</v>
      </c>
      <c r="X11" t="s">
        <v>918</v>
      </c>
      <c r="Y11" t="s">
        <v>918</v>
      </c>
      <c r="Z11" t="s">
        <v>918</v>
      </c>
      <c r="AA11" t="s">
        <v>918</v>
      </c>
      <c r="AB11" t="s">
        <v>918</v>
      </c>
    </row>
    <row r="12" spans="1:28">
      <c r="A12">
        <v>11</v>
      </c>
      <c r="B12" t="s">
        <v>34</v>
      </c>
      <c r="C12" t="s">
        <v>886</v>
      </c>
      <c r="D12" s="183" t="s">
        <v>1060</v>
      </c>
      <c r="E12" t="s">
        <v>918</v>
      </c>
      <c r="F12" t="s">
        <v>918</v>
      </c>
      <c r="G12" t="s">
        <v>918</v>
      </c>
      <c r="H12" t="s">
        <v>918</v>
      </c>
      <c r="I12" t="s">
        <v>918</v>
      </c>
      <c r="J12" t="s">
        <v>918</v>
      </c>
      <c r="K12" t="s">
        <v>918</v>
      </c>
      <c r="L12" t="s">
        <v>918</v>
      </c>
      <c r="M12" t="s">
        <v>918</v>
      </c>
      <c r="N12" t="s">
        <v>918</v>
      </c>
      <c r="O12" t="s">
        <v>918</v>
      </c>
      <c r="P12" t="s">
        <v>918</v>
      </c>
      <c r="Q12" t="s">
        <v>918</v>
      </c>
      <c r="R12" t="s">
        <v>918</v>
      </c>
      <c r="S12" t="s">
        <v>918</v>
      </c>
      <c r="T12" t="s">
        <v>918</v>
      </c>
      <c r="U12" t="s">
        <v>918</v>
      </c>
      <c r="V12" t="s">
        <v>918</v>
      </c>
      <c r="W12" t="s">
        <v>918</v>
      </c>
      <c r="X12" t="s">
        <v>918</v>
      </c>
      <c r="Y12" t="s">
        <v>918</v>
      </c>
      <c r="Z12" t="s">
        <v>918</v>
      </c>
      <c r="AA12" t="s">
        <v>918</v>
      </c>
      <c r="AB12" t="s">
        <v>918</v>
      </c>
    </row>
    <row r="13" spans="1:28">
      <c r="A13">
        <v>12</v>
      </c>
      <c r="B13" t="s">
        <v>34</v>
      </c>
      <c r="C13" t="s">
        <v>886</v>
      </c>
      <c r="D13" s="183" t="s">
        <v>1061</v>
      </c>
      <c r="E13" t="s">
        <v>918</v>
      </c>
      <c r="F13" t="s">
        <v>918</v>
      </c>
      <c r="G13" t="s">
        <v>918</v>
      </c>
      <c r="H13" t="s">
        <v>918</v>
      </c>
      <c r="I13" t="s">
        <v>918</v>
      </c>
      <c r="J13" t="s">
        <v>918</v>
      </c>
      <c r="K13" t="s">
        <v>918</v>
      </c>
      <c r="L13" t="s">
        <v>918</v>
      </c>
      <c r="M13" t="s">
        <v>918</v>
      </c>
      <c r="N13" t="s">
        <v>918</v>
      </c>
      <c r="O13" t="s">
        <v>918</v>
      </c>
      <c r="P13" t="s">
        <v>918</v>
      </c>
      <c r="Q13" t="s">
        <v>918</v>
      </c>
      <c r="R13" t="s">
        <v>918</v>
      </c>
      <c r="S13" t="s">
        <v>918</v>
      </c>
      <c r="T13" t="s">
        <v>918</v>
      </c>
      <c r="U13" t="s">
        <v>918</v>
      </c>
      <c r="V13" t="s">
        <v>918</v>
      </c>
      <c r="W13" t="s">
        <v>918</v>
      </c>
      <c r="X13" t="s">
        <v>918</v>
      </c>
      <c r="Y13" t="s">
        <v>918</v>
      </c>
      <c r="Z13" t="s">
        <v>918</v>
      </c>
      <c r="AA13" t="s">
        <v>918</v>
      </c>
      <c r="AB13" t="s">
        <v>918</v>
      </c>
    </row>
    <row r="14" spans="1:28">
      <c r="A14">
        <v>13</v>
      </c>
      <c r="B14" t="s">
        <v>34</v>
      </c>
      <c r="C14" t="s">
        <v>886</v>
      </c>
      <c r="D14" s="183" t="s">
        <v>1062</v>
      </c>
      <c r="E14" t="s">
        <v>918</v>
      </c>
      <c r="F14" t="s">
        <v>918</v>
      </c>
      <c r="G14" t="s">
        <v>918</v>
      </c>
      <c r="H14" t="s">
        <v>918</v>
      </c>
      <c r="I14" t="s">
        <v>918</v>
      </c>
      <c r="J14" t="s">
        <v>918</v>
      </c>
      <c r="K14" t="s">
        <v>918</v>
      </c>
      <c r="L14" t="s">
        <v>918</v>
      </c>
      <c r="M14" t="s">
        <v>918</v>
      </c>
      <c r="N14" t="s">
        <v>918</v>
      </c>
      <c r="O14" t="s">
        <v>918</v>
      </c>
      <c r="P14" t="s">
        <v>918</v>
      </c>
      <c r="Q14" t="s">
        <v>918</v>
      </c>
      <c r="R14" t="s">
        <v>918</v>
      </c>
      <c r="S14" t="s">
        <v>918</v>
      </c>
      <c r="T14" t="s">
        <v>918</v>
      </c>
      <c r="U14" t="s">
        <v>918</v>
      </c>
      <c r="V14" t="s">
        <v>918</v>
      </c>
      <c r="W14" t="s">
        <v>918</v>
      </c>
      <c r="X14" t="s">
        <v>918</v>
      </c>
      <c r="Y14" t="s">
        <v>918</v>
      </c>
      <c r="Z14" t="s">
        <v>918</v>
      </c>
      <c r="AA14" t="s">
        <v>918</v>
      </c>
      <c r="AB14" t="s">
        <v>918</v>
      </c>
    </row>
    <row r="15" spans="1:28">
      <c r="A15">
        <v>14</v>
      </c>
      <c r="B15" t="s">
        <v>34</v>
      </c>
      <c r="C15" t="s">
        <v>886</v>
      </c>
      <c r="D15" s="183" t="s">
        <v>67</v>
      </c>
      <c r="E15" t="s">
        <v>918</v>
      </c>
      <c r="F15" t="s">
        <v>918</v>
      </c>
      <c r="G15" t="s">
        <v>918</v>
      </c>
      <c r="H15" t="s">
        <v>918</v>
      </c>
      <c r="I15" t="s">
        <v>918</v>
      </c>
      <c r="J15" t="s">
        <v>918</v>
      </c>
      <c r="K15" t="s">
        <v>918</v>
      </c>
      <c r="L15" t="s">
        <v>918</v>
      </c>
      <c r="M15" t="s">
        <v>918</v>
      </c>
      <c r="N15" t="s">
        <v>918</v>
      </c>
      <c r="O15" t="s">
        <v>918</v>
      </c>
      <c r="P15" t="s">
        <v>918</v>
      </c>
      <c r="Q15" t="s">
        <v>918</v>
      </c>
      <c r="R15" t="s">
        <v>918</v>
      </c>
      <c r="S15" t="s">
        <v>918</v>
      </c>
      <c r="T15" t="s">
        <v>918</v>
      </c>
      <c r="U15" t="s">
        <v>918</v>
      </c>
      <c r="V15" t="s">
        <v>918</v>
      </c>
      <c r="W15" t="s">
        <v>918</v>
      </c>
      <c r="X15" t="s">
        <v>918</v>
      </c>
      <c r="Y15" t="s">
        <v>918</v>
      </c>
      <c r="Z15" t="s">
        <v>918</v>
      </c>
      <c r="AA15" t="s">
        <v>918</v>
      </c>
      <c r="AB15" t="s">
        <v>918</v>
      </c>
    </row>
    <row r="16" spans="1:28">
      <c r="A16">
        <v>15</v>
      </c>
      <c r="B16" t="s">
        <v>34</v>
      </c>
      <c r="C16" t="s">
        <v>886</v>
      </c>
      <c r="D16" s="183" t="s">
        <v>68</v>
      </c>
      <c r="E16" t="s">
        <v>918</v>
      </c>
      <c r="F16" t="s">
        <v>918</v>
      </c>
      <c r="G16" t="s">
        <v>918</v>
      </c>
      <c r="H16" t="s">
        <v>918</v>
      </c>
      <c r="I16" t="s">
        <v>918</v>
      </c>
      <c r="J16" t="s">
        <v>918</v>
      </c>
      <c r="K16" t="s">
        <v>918</v>
      </c>
      <c r="L16" t="s">
        <v>918</v>
      </c>
      <c r="M16" t="s">
        <v>918</v>
      </c>
      <c r="N16" t="s">
        <v>918</v>
      </c>
      <c r="O16" t="s">
        <v>918</v>
      </c>
      <c r="P16" t="s">
        <v>918</v>
      </c>
      <c r="Q16" t="s">
        <v>918</v>
      </c>
      <c r="R16" t="s">
        <v>918</v>
      </c>
      <c r="S16" t="s">
        <v>918</v>
      </c>
      <c r="T16" t="s">
        <v>918</v>
      </c>
      <c r="U16" t="s">
        <v>918</v>
      </c>
      <c r="V16" t="s">
        <v>918</v>
      </c>
      <c r="W16" t="s">
        <v>918</v>
      </c>
      <c r="X16" t="s">
        <v>918</v>
      </c>
      <c r="Y16" t="s">
        <v>918</v>
      </c>
      <c r="Z16" t="s">
        <v>918</v>
      </c>
      <c r="AA16" t="s">
        <v>918</v>
      </c>
      <c r="AB16" t="s">
        <v>918</v>
      </c>
    </row>
    <row r="17" spans="1:28">
      <c r="A17">
        <v>16</v>
      </c>
      <c r="B17" t="s">
        <v>34</v>
      </c>
      <c r="C17" t="s">
        <v>886</v>
      </c>
      <c r="D17" s="188" t="s">
        <v>1064</v>
      </c>
      <c r="E17" t="s">
        <v>918</v>
      </c>
      <c r="F17" t="s">
        <v>918</v>
      </c>
      <c r="G17" t="s">
        <v>918</v>
      </c>
      <c r="H17" t="s">
        <v>918</v>
      </c>
      <c r="I17" t="s">
        <v>918</v>
      </c>
      <c r="J17" t="s">
        <v>918</v>
      </c>
      <c r="K17" t="s">
        <v>918</v>
      </c>
      <c r="L17" t="s">
        <v>918</v>
      </c>
      <c r="M17" t="s">
        <v>918</v>
      </c>
      <c r="N17" t="s">
        <v>918</v>
      </c>
      <c r="O17" t="s">
        <v>918</v>
      </c>
      <c r="P17" t="s">
        <v>918</v>
      </c>
      <c r="Q17" t="s">
        <v>918</v>
      </c>
      <c r="R17" t="s">
        <v>918</v>
      </c>
      <c r="S17" t="s">
        <v>918</v>
      </c>
      <c r="T17" t="s">
        <v>918</v>
      </c>
      <c r="U17" t="s">
        <v>918</v>
      </c>
      <c r="V17" t="s">
        <v>918</v>
      </c>
      <c r="W17" t="s">
        <v>918</v>
      </c>
      <c r="X17" t="s">
        <v>918</v>
      </c>
      <c r="Y17" t="s">
        <v>918</v>
      </c>
      <c r="Z17" t="s">
        <v>918</v>
      </c>
      <c r="AA17" t="s">
        <v>918</v>
      </c>
      <c r="AB17" t="s">
        <v>918</v>
      </c>
    </row>
    <row r="18" spans="1:28">
      <c r="A18">
        <v>17</v>
      </c>
      <c r="B18" t="s">
        <v>34</v>
      </c>
      <c r="C18" t="s">
        <v>886</v>
      </c>
      <c r="D18" s="183" t="s">
        <v>233</v>
      </c>
      <c r="E18" t="s">
        <v>918</v>
      </c>
      <c r="F18" t="s">
        <v>918</v>
      </c>
      <c r="G18" t="s">
        <v>918</v>
      </c>
      <c r="H18" t="s">
        <v>918</v>
      </c>
      <c r="I18" t="s">
        <v>918</v>
      </c>
      <c r="J18" t="s">
        <v>918</v>
      </c>
      <c r="K18" t="s">
        <v>918</v>
      </c>
      <c r="L18" t="s">
        <v>918</v>
      </c>
      <c r="M18" t="s">
        <v>918</v>
      </c>
      <c r="N18" t="s">
        <v>918</v>
      </c>
      <c r="O18" t="s">
        <v>918</v>
      </c>
      <c r="P18" t="s">
        <v>918</v>
      </c>
      <c r="Q18" t="s">
        <v>918</v>
      </c>
      <c r="R18" t="s">
        <v>918</v>
      </c>
      <c r="S18" t="s">
        <v>918</v>
      </c>
      <c r="T18" t="s">
        <v>918</v>
      </c>
      <c r="U18" t="s">
        <v>918</v>
      </c>
      <c r="V18" t="s">
        <v>918</v>
      </c>
      <c r="W18" t="s">
        <v>918</v>
      </c>
      <c r="X18" t="s">
        <v>918</v>
      </c>
      <c r="Y18" t="s">
        <v>918</v>
      </c>
      <c r="Z18" t="s">
        <v>918</v>
      </c>
      <c r="AA18" t="s">
        <v>918</v>
      </c>
      <c r="AB18" t="s">
        <v>918</v>
      </c>
    </row>
    <row r="19" spans="1:28">
      <c r="A19">
        <v>18</v>
      </c>
      <c r="B19" t="s">
        <v>33</v>
      </c>
      <c r="C19" t="s">
        <v>32</v>
      </c>
      <c r="D19" s="183" t="s">
        <v>66</v>
      </c>
      <c r="E19" t="s">
        <v>918</v>
      </c>
      <c r="F19" t="s">
        <v>918</v>
      </c>
      <c r="G19" t="s">
        <v>918</v>
      </c>
      <c r="H19" t="s">
        <v>918</v>
      </c>
      <c r="I19" t="s">
        <v>918</v>
      </c>
      <c r="J19" t="s">
        <v>918</v>
      </c>
      <c r="K19" t="s">
        <v>918</v>
      </c>
      <c r="L19" t="s">
        <v>918</v>
      </c>
      <c r="M19" t="s">
        <v>918</v>
      </c>
      <c r="N19" t="s">
        <v>918</v>
      </c>
      <c r="O19" t="s">
        <v>918</v>
      </c>
      <c r="P19" t="s">
        <v>918</v>
      </c>
      <c r="Q19" t="s">
        <v>918</v>
      </c>
      <c r="R19" t="s">
        <v>918</v>
      </c>
      <c r="S19" t="s">
        <v>918</v>
      </c>
      <c r="T19" t="s">
        <v>918</v>
      </c>
      <c r="U19" t="s">
        <v>918</v>
      </c>
      <c r="V19" t="s">
        <v>918</v>
      </c>
      <c r="W19" t="s">
        <v>918</v>
      </c>
      <c r="X19" t="s">
        <v>918</v>
      </c>
      <c r="Y19" t="s">
        <v>918</v>
      </c>
      <c r="Z19" t="s">
        <v>918</v>
      </c>
      <c r="AA19" t="s">
        <v>918</v>
      </c>
      <c r="AB19" t="s">
        <v>918</v>
      </c>
    </row>
    <row r="20" spans="1:28">
      <c r="A20">
        <v>19</v>
      </c>
      <c r="B20" t="s">
        <v>33</v>
      </c>
      <c r="C20" t="s">
        <v>32</v>
      </c>
      <c r="D20" s="183" t="s">
        <v>1060</v>
      </c>
      <c r="E20" t="s">
        <v>918</v>
      </c>
      <c r="F20" t="s">
        <v>918</v>
      </c>
      <c r="G20" t="s">
        <v>918</v>
      </c>
      <c r="H20" t="s">
        <v>918</v>
      </c>
      <c r="I20" t="s">
        <v>918</v>
      </c>
      <c r="J20" t="s">
        <v>918</v>
      </c>
      <c r="K20" t="s">
        <v>918</v>
      </c>
      <c r="L20" t="s">
        <v>918</v>
      </c>
      <c r="M20" t="s">
        <v>918</v>
      </c>
      <c r="N20" t="s">
        <v>918</v>
      </c>
      <c r="O20" t="s">
        <v>918</v>
      </c>
      <c r="P20" t="s">
        <v>918</v>
      </c>
      <c r="Q20" t="s">
        <v>918</v>
      </c>
      <c r="R20" t="s">
        <v>918</v>
      </c>
      <c r="S20" t="s">
        <v>918</v>
      </c>
      <c r="T20" t="s">
        <v>918</v>
      </c>
      <c r="U20" t="s">
        <v>918</v>
      </c>
      <c r="V20" t="s">
        <v>918</v>
      </c>
      <c r="W20" t="s">
        <v>918</v>
      </c>
      <c r="X20" t="s">
        <v>918</v>
      </c>
      <c r="Y20" t="s">
        <v>918</v>
      </c>
      <c r="Z20" t="s">
        <v>918</v>
      </c>
      <c r="AA20" t="s">
        <v>918</v>
      </c>
      <c r="AB20" t="s">
        <v>918</v>
      </c>
    </row>
    <row r="21" spans="1:28">
      <c r="A21">
        <v>20</v>
      </c>
      <c r="B21" t="s">
        <v>33</v>
      </c>
      <c r="C21" t="s">
        <v>32</v>
      </c>
      <c r="D21" s="183" t="s">
        <v>1061</v>
      </c>
      <c r="E21" t="s">
        <v>918</v>
      </c>
      <c r="F21" t="s">
        <v>918</v>
      </c>
      <c r="G21" t="s">
        <v>918</v>
      </c>
      <c r="H21" t="s">
        <v>918</v>
      </c>
      <c r="I21" t="s">
        <v>918</v>
      </c>
      <c r="J21" t="s">
        <v>918</v>
      </c>
      <c r="K21" t="s">
        <v>918</v>
      </c>
      <c r="L21" t="s">
        <v>918</v>
      </c>
      <c r="M21" t="s">
        <v>918</v>
      </c>
      <c r="N21" t="s">
        <v>918</v>
      </c>
      <c r="O21" t="s">
        <v>918</v>
      </c>
      <c r="P21" t="s">
        <v>918</v>
      </c>
      <c r="Q21" t="s">
        <v>918</v>
      </c>
      <c r="R21" t="s">
        <v>918</v>
      </c>
      <c r="S21" t="s">
        <v>918</v>
      </c>
      <c r="T21" t="s">
        <v>918</v>
      </c>
      <c r="U21" t="s">
        <v>918</v>
      </c>
      <c r="V21" t="s">
        <v>918</v>
      </c>
      <c r="W21" t="s">
        <v>918</v>
      </c>
      <c r="X21" t="s">
        <v>918</v>
      </c>
      <c r="Y21" t="s">
        <v>918</v>
      </c>
      <c r="Z21" t="s">
        <v>918</v>
      </c>
      <c r="AA21" t="s">
        <v>918</v>
      </c>
      <c r="AB21" t="s">
        <v>918</v>
      </c>
    </row>
    <row r="22" spans="1:28">
      <c r="A22">
        <v>21</v>
      </c>
      <c r="B22" t="s">
        <v>33</v>
      </c>
      <c r="C22" t="s">
        <v>32</v>
      </c>
      <c r="D22" s="183" t="s">
        <v>1062</v>
      </c>
      <c r="E22" t="s">
        <v>918</v>
      </c>
      <c r="F22" t="s">
        <v>918</v>
      </c>
      <c r="G22" t="s">
        <v>918</v>
      </c>
      <c r="H22" t="s">
        <v>918</v>
      </c>
      <c r="I22" t="s">
        <v>918</v>
      </c>
      <c r="J22" t="s">
        <v>918</v>
      </c>
      <c r="K22" t="s">
        <v>918</v>
      </c>
      <c r="L22" t="s">
        <v>918</v>
      </c>
      <c r="M22" t="s">
        <v>918</v>
      </c>
      <c r="N22" t="s">
        <v>918</v>
      </c>
      <c r="O22" t="s">
        <v>918</v>
      </c>
      <c r="P22" t="s">
        <v>918</v>
      </c>
      <c r="Q22" t="s">
        <v>918</v>
      </c>
      <c r="R22" t="s">
        <v>918</v>
      </c>
      <c r="S22" t="s">
        <v>918</v>
      </c>
      <c r="T22" t="s">
        <v>918</v>
      </c>
      <c r="U22" t="s">
        <v>918</v>
      </c>
      <c r="V22" t="s">
        <v>918</v>
      </c>
      <c r="W22" t="s">
        <v>918</v>
      </c>
      <c r="X22" t="s">
        <v>918</v>
      </c>
      <c r="Y22" t="s">
        <v>918</v>
      </c>
      <c r="Z22" t="s">
        <v>918</v>
      </c>
      <c r="AA22" t="s">
        <v>918</v>
      </c>
      <c r="AB22" t="s">
        <v>918</v>
      </c>
    </row>
    <row r="23" spans="1:28">
      <c r="A23">
        <v>22</v>
      </c>
      <c r="B23" t="s">
        <v>33</v>
      </c>
      <c r="C23" t="s">
        <v>32</v>
      </c>
      <c r="D23" s="183" t="s">
        <v>67</v>
      </c>
      <c r="E23" t="s">
        <v>918</v>
      </c>
      <c r="F23" t="s">
        <v>918</v>
      </c>
      <c r="G23" t="s">
        <v>918</v>
      </c>
      <c r="H23" t="s">
        <v>918</v>
      </c>
      <c r="I23" t="s">
        <v>918</v>
      </c>
      <c r="J23" t="s">
        <v>918</v>
      </c>
      <c r="K23" t="s">
        <v>918</v>
      </c>
      <c r="L23" t="s">
        <v>918</v>
      </c>
      <c r="M23" t="s">
        <v>918</v>
      </c>
      <c r="N23" t="s">
        <v>918</v>
      </c>
      <c r="O23" t="s">
        <v>918</v>
      </c>
      <c r="P23" t="s">
        <v>918</v>
      </c>
      <c r="Q23" t="s">
        <v>918</v>
      </c>
      <c r="R23" t="s">
        <v>918</v>
      </c>
      <c r="S23" t="s">
        <v>918</v>
      </c>
      <c r="T23" t="s">
        <v>918</v>
      </c>
      <c r="U23" t="s">
        <v>918</v>
      </c>
      <c r="V23" t="s">
        <v>918</v>
      </c>
      <c r="W23" t="s">
        <v>918</v>
      </c>
      <c r="X23" t="s">
        <v>918</v>
      </c>
      <c r="Y23" t="s">
        <v>918</v>
      </c>
      <c r="Z23" t="s">
        <v>918</v>
      </c>
      <c r="AA23" t="s">
        <v>918</v>
      </c>
      <c r="AB23" t="s">
        <v>918</v>
      </c>
    </row>
    <row r="24" spans="1:28">
      <c r="A24">
        <v>23</v>
      </c>
      <c r="B24" t="s">
        <v>33</v>
      </c>
      <c r="C24" t="s">
        <v>32</v>
      </c>
      <c r="D24" s="183" t="s">
        <v>68</v>
      </c>
      <c r="E24" t="s">
        <v>918</v>
      </c>
      <c r="F24" t="s">
        <v>918</v>
      </c>
      <c r="G24" t="s">
        <v>918</v>
      </c>
      <c r="H24" t="s">
        <v>918</v>
      </c>
      <c r="I24" t="s">
        <v>918</v>
      </c>
      <c r="J24" t="s">
        <v>918</v>
      </c>
      <c r="K24" t="s">
        <v>918</v>
      </c>
      <c r="L24" t="s">
        <v>918</v>
      </c>
      <c r="M24" t="s">
        <v>918</v>
      </c>
      <c r="N24" t="s">
        <v>918</v>
      </c>
      <c r="O24" t="s">
        <v>918</v>
      </c>
      <c r="P24" t="s">
        <v>918</v>
      </c>
      <c r="Q24" t="s">
        <v>918</v>
      </c>
      <c r="R24" t="s">
        <v>918</v>
      </c>
      <c r="S24" t="s">
        <v>918</v>
      </c>
      <c r="T24" t="s">
        <v>918</v>
      </c>
      <c r="U24" t="s">
        <v>918</v>
      </c>
      <c r="V24" t="s">
        <v>918</v>
      </c>
      <c r="W24" t="s">
        <v>918</v>
      </c>
      <c r="X24" t="s">
        <v>918</v>
      </c>
      <c r="Y24" t="s">
        <v>918</v>
      </c>
      <c r="Z24" t="s">
        <v>918</v>
      </c>
      <c r="AA24" t="s">
        <v>918</v>
      </c>
      <c r="AB24" t="s">
        <v>918</v>
      </c>
    </row>
    <row r="25" spans="1:28">
      <c r="A25">
        <v>24</v>
      </c>
      <c r="B25" t="s">
        <v>33</v>
      </c>
      <c r="C25" t="s">
        <v>32</v>
      </c>
      <c r="D25" s="188" t="s">
        <v>1064</v>
      </c>
      <c r="E25" t="s">
        <v>918</v>
      </c>
      <c r="F25" t="s">
        <v>918</v>
      </c>
      <c r="G25" t="s">
        <v>918</v>
      </c>
      <c r="H25" t="s">
        <v>918</v>
      </c>
      <c r="I25" t="s">
        <v>918</v>
      </c>
      <c r="J25" t="s">
        <v>918</v>
      </c>
      <c r="K25" t="s">
        <v>918</v>
      </c>
      <c r="L25" t="s">
        <v>918</v>
      </c>
      <c r="M25" t="s">
        <v>918</v>
      </c>
      <c r="N25" t="s">
        <v>918</v>
      </c>
      <c r="O25" t="s">
        <v>918</v>
      </c>
      <c r="P25" t="s">
        <v>918</v>
      </c>
      <c r="Q25" t="s">
        <v>918</v>
      </c>
      <c r="R25" t="s">
        <v>918</v>
      </c>
      <c r="S25" t="s">
        <v>918</v>
      </c>
      <c r="T25" t="s">
        <v>918</v>
      </c>
      <c r="U25" t="s">
        <v>918</v>
      </c>
      <c r="V25" t="s">
        <v>918</v>
      </c>
      <c r="W25" t="s">
        <v>918</v>
      </c>
      <c r="X25" t="s">
        <v>918</v>
      </c>
      <c r="Y25" t="s">
        <v>918</v>
      </c>
      <c r="Z25" t="s">
        <v>918</v>
      </c>
      <c r="AA25" t="s">
        <v>918</v>
      </c>
      <c r="AB25" t="s">
        <v>918</v>
      </c>
    </row>
    <row r="26" spans="1:28">
      <c r="A26">
        <v>25</v>
      </c>
      <c r="B26" t="s">
        <v>33</v>
      </c>
      <c r="C26" t="s">
        <v>32</v>
      </c>
      <c r="D26" s="183" t="s">
        <v>233</v>
      </c>
      <c r="E26" t="s">
        <v>918</v>
      </c>
      <c r="F26" t="s">
        <v>918</v>
      </c>
      <c r="G26" t="s">
        <v>918</v>
      </c>
      <c r="H26" t="s">
        <v>918</v>
      </c>
      <c r="I26" t="s">
        <v>918</v>
      </c>
      <c r="J26" t="s">
        <v>918</v>
      </c>
      <c r="K26" t="s">
        <v>918</v>
      </c>
      <c r="L26" t="s">
        <v>918</v>
      </c>
      <c r="M26" t="s">
        <v>918</v>
      </c>
      <c r="N26" t="s">
        <v>918</v>
      </c>
      <c r="O26" t="s">
        <v>918</v>
      </c>
      <c r="P26" t="s">
        <v>918</v>
      </c>
      <c r="Q26" t="s">
        <v>918</v>
      </c>
      <c r="R26" t="s">
        <v>918</v>
      </c>
      <c r="S26" t="s">
        <v>918</v>
      </c>
      <c r="T26" t="s">
        <v>918</v>
      </c>
      <c r="U26" t="s">
        <v>918</v>
      </c>
      <c r="V26" t="s">
        <v>918</v>
      </c>
      <c r="W26" t="s">
        <v>918</v>
      </c>
      <c r="X26" t="s">
        <v>918</v>
      </c>
      <c r="Y26" t="s">
        <v>918</v>
      </c>
      <c r="Z26" t="s">
        <v>918</v>
      </c>
      <c r="AA26" t="s">
        <v>918</v>
      </c>
      <c r="AB26" t="s">
        <v>918</v>
      </c>
    </row>
    <row r="27" spans="1:28">
      <c r="A27">
        <v>26</v>
      </c>
      <c r="B27" t="s">
        <v>30</v>
      </c>
      <c r="C27" t="s">
        <v>29</v>
      </c>
      <c r="D27" s="183" t="s">
        <v>66</v>
      </c>
      <c r="E27" t="s">
        <v>918</v>
      </c>
      <c r="F27" t="s">
        <v>918</v>
      </c>
      <c r="G27" t="s">
        <v>918</v>
      </c>
      <c r="H27" t="s">
        <v>918</v>
      </c>
      <c r="I27" t="s">
        <v>918</v>
      </c>
      <c r="J27" t="s">
        <v>918</v>
      </c>
      <c r="K27" t="s">
        <v>918</v>
      </c>
      <c r="L27" t="s">
        <v>918</v>
      </c>
      <c r="M27" t="s">
        <v>918</v>
      </c>
      <c r="N27" t="s">
        <v>918</v>
      </c>
      <c r="O27" t="s">
        <v>918</v>
      </c>
      <c r="P27" t="s">
        <v>918</v>
      </c>
      <c r="Q27" t="s">
        <v>918</v>
      </c>
      <c r="R27" t="s">
        <v>918</v>
      </c>
      <c r="S27" t="s">
        <v>918</v>
      </c>
      <c r="T27" t="s">
        <v>918</v>
      </c>
      <c r="U27" t="s">
        <v>918</v>
      </c>
      <c r="V27" t="s">
        <v>918</v>
      </c>
      <c r="W27" t="s">
        <v>918</v>
      </c>
      <c r="X27" t="s">
        <v>918</v>
      </c>
      <c r="Y27" t="s">
        <v>918</v>
      </c>
      <c r="Z27" t="s">
        <v>918</v>
      </c>
      <c r="AA27" t="s">
        <v>918</v>
      </c>
      <c r="AB27" t="s">
        <v>918</v>
      </c>
    </row>
    <row r="28" spans="1:28">
      <c r="A28">
        <v>27</v>
      </c>
      <c r="B28" t="s">
        <v>30</v>
      </c>
      <c r="C28" t="s">
        <v>29</v>
      </c>
      <c r="D28" s="183" t="s">
        <v>1060</v>
      </c>
      <c r="E28" t="s">
        <v>918</v>
      </c>
      <c r="F28" t="s">
        <v>918</v>
      </c>
      <c r="G28" t="s">
        <v>918</v>
      </c>
      <c r="H28" t="s">
        <v>918</v>
      </c>
      <c r="I28" t="s">
        <v>918</v>
      </c>
      <c r="J28" t="s">
        <v>918</v>
      </c>
      <c r="K28" t="s">
        <v>918</v>
      </c>
      <c r="L28" t="s">
        <v>918</v>
      </c>
      <c r="M28" t="s">
        <v>918</v>
      </c>
      <c r="N28" t="s">
        <v>918</v>
      </c>
      <c r="O28" t="s">
        <v>918</v>
      </c>
      <c r="P28" t="s">
        <v>918</v>
      </c>
      <c r="Q28" t="s">
        <v>918</v>
      </c>
      <c r="R28" t="s">
        <v>918</v>
      </c>
      <c r="S28" t="s">
        <v>918</v>
      </c>
      <c r="T28" t="s">
        <v>918</v>
      </c>
      <c r="U28" t="s">
        <v>918</v>
      </c>
      <c r="V28" t="s">
        <v>918</v>
      </c>
      <c r="W28" t="s">
        <v>918</v>
      </c>
      <c r="X28" t="s">
        <v>918</v>
      </c>
      <c r="Y28" t="s">
        <v>918</v>
      </c>
      <c r="Z28" t="s">
        <v>918</v>
      </c>
      <c r="AA28" t="s">
        <v>918</v>
      </c>
      <c r="AB28" t="s">
        <v>918</v>
      </c>
    </row>
    <row r="29" spans="1:28">
      <c r="A29">
        <v>28</v>
      </c>
      <c r="B29" t="s">
        <v>30</v>
      </c>
      <c r="C29" t="s">
        <v>29</v>
      </c>
      <c r="D29" s="183" t="s">
        <v>1065</v>
      </c>
      <c r="E29" t="s">
        <v>918</v>
      </c>
      <c r="F29" t="s">
        <v>918</v>
      </c>
      <c r="G29" t="s">
        <v>918</v>
      </c>
      <c r="H29" t="s">
        <v>918</v>
      </c>
      <c r="I29" t="s">
        <v>918</v>
      </c>
      <c r="J29" t="s">
        <v>918</v>
      </c>
      <c r="K29" t="s">
        <v>918</v>
      </c>
      <c r="L29" t="s">
        <v>918</v>
      </c>
      <c r="M29" t="s">
        <v>918</v>
      </c>
      <c r="N29" t="s">
        <v>918</v>
      </c>
      <c r="O29" t="s">
        <v>918</v>
      </c>
      <c r="P29" t="s">
        <v>918</v>
      </c>
      <c r="Q29" t="s">
        <v>918</v>
      </c>
      <c r="R29" t="s">
        <v>918</v>
      </c>
      <c r="S29" t="s">
        <v>918</v>
      </c>
      <c r="T29" t="s">
        <v>918</v>
      </c>
      <c r="U29" t="s">
        <v>918</v>
      </c>
      <c r="V29" t="s">
        <v>918</v>
      </c>
      <c r="W29" t="s">
        <v>918</v>
      </c>
      <c r="X29" t="s">
        <v>918</v>
      </c>
      <c r="Y29" t="s">
        <v>918</v>
      </c>
      <c r="Z29" t="s">
        <v>918</v>
      </c>
      <c r="AA29" t="s">
        <v>918</v>
      </c>
      <c r="AB29" t="s">
        <v>918</v>
      </c>
    </row>
    <row r="30" spans="1:28">
      <c r="A30">
        <v>29</v>
      </c>
      <c r="B30" t="s">
        <v>30</v>
      </c>
      <c r="C30" t="s">
        <v>29</v>
      </c>
      <c r="D30" s="183" t="s">
        <v>1066</v>
      </c>
      <c r="E30" t="s">
        <v>918</v>
      </c>
      <c r="F30" t="s">
        <v>918</v>
      </c>
      <c r="G30" t="s">
        <v>918</v>
      </c>
      <c r="H30" t="s">
        <v>918</v>
      </c>
      <c r="I30" t="s">
        <v>918</v>
      </c>
      <c r="J30" t="s">
        <v>918</v>
      </c>
      <c r="K30" t="s">
        <v>918</v>
      </c>
      <c r="L30" t="s">
        <v>918</v>
      </c>
      <c r="M30" t="s">
        <v>918</v>
      </c>
      <c r="N30" t="s">
        <v>918</v>
      </c>
      <c r="O30" t="s">
        <v>918</v>
      </c>
      <c r="P30" t="s">
        <v>918</v>
      </c>
      <c r="Q30" t="s">
        <v>918</v>
      </c>
      <c r="R30" t="s">
        <v>918</v>
      </c>
      <c r="S30" t="s">
        <v>918</v>
      </c>
      <c r="T30" t="s">
        <v>918</v>
      </c>
      <c r="U30" t="s">
        <v>918</v>
      </c>
      <c r="V30" t="s">
        <v>918</v>
      </c>
      <c r="W30" t="s">
        <v>918</v>
      </c>
      <c r="X30" t="s">
        <v>918</v>
      </c>
      <c r="Y30" t="s">
        <v>918</v>
      </c>
      <c r="Z30" t="s">
        <v>918</v>
      </c>
      <c r="AA30" t="s">
        <v>918</v>
      </c>
      <c r="AB30" t="s">
        <v>918</v>
      </c>
    </row>
    <row r="31" spans="1:28">
      <c r="A31">
        <v>30</v>
      </c>
      <c r="B31" t="s">
        <v>30</v>
      </c>
      <c r="C31" t="s">
        <v>29</v>
      </c>
      <c r="D31" s="183" t="s">
        <v>67</v>
      </c>
      <c r="E31" t="s">
        <v>918</v>
      </c>
      <c r="F31" t="s">
        <v>918</v>
      </c>
      <c r="G31" t="s">
        <v>918</v>
      </c>
      <c r="H31" t="s">
        <v>918</v>
      </c>
      <c r="I31" t="s">
        <v>918</v>
      </c>
      <c r="J31" t="s">
        <v>918</v>
      </c>
      <c r="K31" t="s">
        <v>918</v>
      </c>
      <c r="L31" t="s">
        <v>918</v>
      </c>
      <c r="M31" t="s">
        <v>918</v>
      </c>
      <c r="N31" t="s">
        <v>918</v>
      </c>
      <c r="O31" t="s">
        <v>918</v>
      </c>
      <c r="P31" t="s">
        <v>918</v>
      </c>
      <c r="Q31" t="s">
        <v>918</v>
      </c>
      <c r="R31" t="s">
        <v>918</v>
      </c>
      <c r="S31" t="s">
        <v>918</v>
      </c>
      <c r="T31" t="s">
        <v>918</v>
      </c>
      <c r="U31" t="s">
        <v>918</v>
      </c>
      <c r="V31" t="s">
        <v>918</v>
      </c>
      <c r="W31" t="s">
        <v>918</v>
      </c>
      <c r="X31" t="s">
        <v>918</v>
      </c>
      <c r="Y31" t="s">
        <v>918</v>
      </c>
      <c r="Z31" t="s">
        <v>918</v>
      </c>
      <c r="AA31" t="s">
        <v>918</v>
      </c>
      <c r="AB31" t="s">
        <v>918</v>
      </c>
    </row>
    <row r="32" spans="1:28">
      <c r="A32">
        <v>31</v>
      </c>
      <c r="B32" t="s">
        <v>30</v>
      </c>
      <c r="C32" t="s">
        <v>29</v>
      </c>
      <c r="D32" s="183" t="s">
        <v>68</v>
      </c>
      <c r="E32" t="s">
        <v>918</v>
      </c>
      <c r="F32" t="s">
        <v>918</v>
      </c>
      <c r="G32" t="s">
        <v>918</v>
      </c>
      <c r="H32" t="s">
        <v>918</v>
      </c>
      <c r="I32" t="s">
        <v>918</v>
      </c>
      <c r="J32" t="s">
        <v>918</v>
      </c>
      <c r="K32" t="s">
        <v>918</v>
      </c>
      <c r="L32" t="s">
        <v>918</v>
      </c>
      <c r="M32" t="s">
        <v>918</v>
      </c>
      <c r="N32" t="s">
        <v>918</v>
      </c>
      <c r="O32" t="s">
        <v>918</v>
      </c>
      <c r="P32" t="s">
        <v>918</v>
      </c>
      <c r="Q32" t="s">
        <v>918</v>
      </c>
      <c r="R32" t="s">
        <v>918</v>
      </c>
      <c r="S32" t="s">
        <v>918</v>
      </c>
      <c r="T32" t="s">
        <v>918</v>
      </c>
      <c r="U32" t="s">
        <v>918</v>
      </c>
      <c r="V32" t="s">
        <v>918</v>
      </c>
      <c r="W32" t="s">
        <v>918</v>
      </c>
      <c r="X32" t="s">
        <v>918</v>
      </c>
      <c r="Y32" t="s">
        <v>918</v>
      </c>
      <c r="Z32" t="s">
        <v>918</v>
      </c>
      <c r="AA32" t="s">
        <v>918</v>
      </c>
      <c r="AB32" t="s">
        <v>918</v>
      </c>
    </row>
    <row r="33" spans="1:28">
      <c r="A33">
        <v>32</v>
      </c>
      <c r="B33" t="s">
        <v>30</v>
      </c>
      <c r="C33" t="s">
        <v>29</v>
      </c>
      <c r="D33" s="188" t="s">
        <v>1064</v>
      </c>
      <c r="E33" t="s">
        <v>918</v>
      </c>
      <c r="F33" t="s">
        <v>918</v>
      </c>
      <c r="G33" t="s">
        <v>918</v>
      </c>
      <c r="H33" t="s">
        <v>918</v>
      </c>
      <c r="I33" t="s">
        <v>918</v>
      </c>
      <c r="J33" t="s">
        <v>918</v>
      </c>
      <c r="K33" t="s">
        <v>918</v>
      </c>
      <c r="L33" t="s">
        <v>918</v>
      </c>
      <c r="M33" t="s">
        <v>918</v>
      </c>
      <c r="N33" t="s">
        <v>918</v>
      </c>
      <c r="O33" t="s">
        <v>918</v>
      </c>
      <c r="P33" t="s">
        <v>918</v>
      </c>
      <c r="Q33" t="s">
        <v>918</v>
      </c>
      <c r="R33" t="s">
        <v>918</v>
      </c>
      <c r="S33" t="s">
        <v>918</v>
      </c>
      <c r="T33" t="s">
        <v>918</v>
      </c>
      <c r="U33" t="s">
        <v>918</v>
      </c>
      <c r="V33" t="s">
        <v>918</v>
      </c>
      <c r="W33" t="s">
        <v>918</v>
      </c>
      <c r="X33" t="s">
        <v>918</v>
      </c>
      <c r="Y33" t="s">
        <v>918</v>
      </c>
      <c r="Z33" t="s">
        <v>918</v>
      </c>
      <c r="AA33" t="s">
        <v>918</v>
      </c>
      <c r="AB33" t="s">
        <v>918</v>
      </c>
    </row>
    <row r="34" spans="1:28">
      <c r="A34">
        <v>33</v>
      </c>
      <c r="B34" t="s">
        <v>30</v>
      </c>
      <c r="C34" t="s">
        <v>29</v>
      </c>
      <c r="D34" s="183" t="s">
        <v>233</v>
      </c>
      <c r="E34" t="s">
        <v>918</v>
      </c>
      <c r="F34" t="s">
        <v>918</v>
      </c>
      <c r="G34" t="s">
        <v>918</v>
      </c>
      <c r="H34" t="s">
        <v>918</v>
      </c>
      <c r="I34" t="s">
        <v>918</v>
      </c>
      <c r="J34" t="s">
        <v>918</v>
      </c>
      <c r="K34" t="s">
        <v>918</v>
      </c>
      <c r="L34" t="s">
        <v>918</v>
      </c>
      <c r="M34" t="s">
        <v>918</v>
      </c>
      <c r="N34" t="s">
        <v>918</v>
      </c>
      <c r="O34" t="s">
        <v>918</v>
      </c>
      <c r="P34" t="s">
        <v>918</v>
      </c>
      <c r="Q34" t="s">
        <v>918</v>
      </c>
      <c r="R34" t="s">
        <v>918</v>
      </c>
      <c r="S34" t="s">
        <v>918</v>
      </c>
      <c r="T34" t="s">
        <v>918</v>
      </c>
      <c r="U34" t="s">
        <v>918</v>
      </c>
      <c r="V34" t="s">
        <v>918</v>
      </c>
      <c r="W34" t="s">
        <v>918</v>
      </c>
      <c r="X34" t="s">
        <v>918</v>
      </c>
      <c r="Y34" t="s">
        <v>918</v>
      </c>
      <c r="Z34" t="s">
        <v>918</v>
      </c>
      <c r="AA34" t="s">
        <v>918</v>
      </c>
      <c r="AB34" t="s">
        <v>918</v>
      </c>
    </row>
    <row r="35" spans="1:28">
      <c r="A35">
        <v>34</v>
      </c>
      <c r="B35" t="s">
        <v>28</v>
      </c>
      <c r="C35" t="s">
        <v>27</v>
      </c>
      <c r="D35" s="183" t="s">
        <v>66</v>
      </c>
      <c r="E35" t="s">
        <v>918</v>
      </c>
      <c r="F35" t="s">
        <v>918</v>
      </c>
      <c r="G35" t="s">
        <v>918</v>
      </c>
      <c r="H35" t="s">
        <v>918</v>
      </c>
      <c r="I35" t="s">
        <v>918</v>
      </c>
      <c r="J35" t="s">
        <v>918</v>
      </c>
      <c r="K35" t="s">
        <v>918</v>
      </c>
      <c r="L35" t="s">
        <v>918</v>
      </c>
      <c r="M35" t="s">
        <v>918</v>
      </c>
      <c r="N35" t="s">
        <v>918</v>
      </c>
      <c r="O35" t="s">
        <v>918</v>
      </c>
      <c r="P35" t="s">
        <v>918</v>
      </c>
      <c r="Q35" t="s">
        <v>918</v>
      </c>
      <c r="R35" t="s">
        <v>918</v>
      </c>
      <c r="S35" t="s">
        <v>918</v>
      </c>
      <c r="T35" t="s">
        <v>918</v>
      </c>
      <c r="U35" t="s">
        <v>918</v>
      </c>
      <c r="V35" t="s">
        <v>918</v>
      </c>
      <c r="W35" t="s">
        <v>918</v>
      </c>
      <c r="X35" t="s">
        <v>918</v>
      </c>
      <c r="Y35" t="s">
        <v>918</v>
      </c>
      <c r="Z35" t="s">
        <v>918</v>
      </c>
      <c r="AA35" t="s">
        <v>918</v>
      </c>
      <c r="AB35" t="s">
        <v>918</v>
      </c>
    </row>
    <row r="36" spans="1:28">
      <c r="A36">
        <v>35</v>
      </c>
      <c r="B36" t="s">
        <v>28</v>
      </c>
      <c r="C36" t="s">
        <v>27</v>
      </c>
      <c r="D36" s="183" t="s">
        <v>1060</v>
      </c>
      <c r="E36" t="s">
        <v>918</v>
      </c>
      <c r="F36" t="s">
        <v>918</v>
      </c>
      <c r="G36" t="s">
        <v>918</v>
      </c>
      <c r="H36" t="s">
        <v>918</v>
      </c>
      <c r="I36" t="s">
        <v>918</v>
      </c>
      <c r="J36" t="s">
        <v>918</v>
      </c>
      <c r="K36" t="s">
        <v>918</v>
      </c>
      <c r="L36" t="s">
        <v>918</v>
      </c>
      <c r="M36" t="s">
        <v>918</v>
      </c>
      <c r="N36" t="s">
        <v>918</v>
      </c>
      <c r="O36" t="s">
        <v>918</v>
      </c>
      <c r="P36" t="s">
        <v>918</v>
      </c>
      <c r="Q36" t="s">
        <v>918</v>
      </c>
      <c r="R36" t="s">
        <v>918</v>
      </c>
      <c r="S36" t="s">
        <v>918</v>
      </c>
      <c r="T36" t="s">
        <v>918</v>
      </c>
      <c r="U36" t="s">
        <v>918</v>
      </c>
      <c r="V36" t="s">
        <v>918</v>
      </c>
      <c r="W36" t="s">
        <v>918</v>
      </c>
      <c r="X36" t="s">
        <v>918</v>
      </c>
      <c r="Y36" t="s">
        <v>918</v>
      </c>
      <c r="Z36" t="s">
        <v>918</v>
      </c>
      <c r="AA36" t="s">
        <v>918</v>
      </c>
      <c r="AB36" t="s">
        <v>918</v>
      </c>
    </row>
    <row r="37" spans="1:28">
      <c r="A37">
        <v>36</v>
      </c>
      <c r="B37" t="s">
        <v>28</v>
      </c>
      <c r="C37" t="s">
        <v>27</v>
      </c>
      <c r="D37" s="183" t="s">
        <v>1067</v>
      </c>
      <c r="E37" t="s">
        <v>918</v>
      </c>
      <c r="F37" t="s">
        <v>918</v>
      </c>
      <c r="G37" t="s">
        <v>918</v>
      </c>
      <c r="H37" t="s">
        <v>918</v>
      </c>
      <c r="I37" t="s">
        <v>918</v>
      </c>
      <c r="J37" t="s">
        <v>918</v>
      </c>
      <c r="K37" t="s">
        <v>918</v>
      </c>
      <c r="L37" t="s">
        <v>918</v>
      </c>
      <c r="M37" t="s">
        <v>918</v>
      </c>
      <c r="N37" t="s">
        <v>918</v>
      </c>
      <c r="O37" t="s">
        <v>918</v>
      </c>
      <c r="P37" t="s">
        <v>918</v>
      </c>
      <c r="Q37" t="s">
        <v>918</v>
      </c>
      <c r="R37" t="s">
        <v>918</v>
      </c>
      <c r="S37" t="s">
        <v>918</v>
      </c>
      <c r="T37" t="s">
        <v>918</v>
      </c>
      <c r="U37" t="s">
        <v>918</v>
      </c>
      <c r="V37" t="s">
        <v>918</v>
      </c>
      <c r="W37" t="s">
        <v>918</v>
      </c>
      <c r="X37" t="s">
        <v>918</v>
      </c>
      <c r="Y37" t="s">
        <v>918</v>
      </c>
      <c r="Z37" t="s">
        <v>918</v>
      </c>
      <c r="AA37" t="s">
        <v>918</v>
      </c>
      <c r="AB37" t="s">
        <v>918</v>
      </c>
    </row>
    <row r="38" spans="1:28">
      <c r="A38">
        <v>37</v>
      </c>
      <c r="B38" t="s">
        <v>28</v>
      </c>
      <c r="C38" t="s">
        <v>27</v>
      </c>
      <c r="D38" s="183" t="s">
        <v>1068</v>
      </c>
      <c r="E38" t="s">
        <v>918</v>
      </c>
      <c r="F38" t="s">
        <v>918</v>
      </c>
      <c r="G38" t="s">
        <v>918</v>
      </c>
      <c r="H38" t="s">
        <v>918</v>
      </c>
      <c r="I38" t="s">
        <v>918</v>
      </c>
      <c r="J38" t="s">
        <v>918</v>
      </c>
      <c r="K38" t="s">
        <v>918</v>
      </c>
      <c r="L38" t="s">
        <v>918</v>
      </c>
      <c r="M38" t="s">
        <v>918</v>
      </c>
      <c r="N38" t="s">
        <v>918</v>
      </c>
      <c r="O38" t="s">
        <v>918</v>
      </c>
      <c r="P38" t="s">
        <v>918</v>
      </c>
      <c r="Q38" t="s">
        <v>918</v>
      </c>
      <c r="R38" t="s">
        <v>918</v>
      </c>
      <c r="S38" t="s">
        <v>918</v>
      </c>
      <c r="T38" t="s">
        <v>918</v>
      </c>
      <c r="U38" t="s">
        <v>918</v>
      </c>
      <c r="V38" t="s">
        <v>918</v>
      </c>
      <c r="W38" t="s">
        <v>918</v>
      </c>
      <c r="X38" t="s">
        <v>918</v>
      </c>
      <c r="Y38" t="s">
        <v>918</v>
      </c>
      <c r="Z38" t="s">
        <v>918</v>
      </c>
      <c r="AA38" t="s">
        <v>918</v>
      </c>
      <c r="AB38" t="s">
        <v>918</v>
      </c>
    </row>
    <row r="39" spans="1:28">
      <c r="A39">
        <v>38</v>
      </c>
      <c r="B39" t="s">
        <v>28</v>
      </c>
      <c r="C39" t="s">
        <v>27</v>
      </c>
      <c r="D39" s="183" t="s">
        <v>67</v>
      </c>
      <c r="E39" t="s">
        <v>918</v>
      </c>
      <c r="F39" t="s">
        <v>918</v>
      </c>
      <c r="G39" t="s">
        <v>918</v>
      </c>
      <c r="H39" t="s">
        <v>918</v>
      </c>
      <c r="I39" t="s">
        <v>918</v>
      </c>
      <c r="J39" t="s">
        <v>918</v>
      </c>
      <c r="K39" t="s">
        <v>918</v>
      </c>
      <c r="L39" t="s">
        <v>918</v>
      </c>
      <c r="M39" t="s">
        <v>918</v>
      </c>
      <c r="N39" t="s">
        <v>918</v>
      </c>
      <c r="O39" t="s">
        <v>918</v>
      </c>
      <c r="P39" t="s">
        <v>918</v>
      </c>
      <c r="Q39" t="s">
        <v>918</v>
      </c>
      <c r="R39" t="s">
        <v>918</v>
      </c>
      <c r="S39" t="s">
        <v>918</v>
      </c>
      <c r="T39" t="s">
        <v>918</v>
      </c>
      <c r="U39" t="s">
        <v>918</v>
      </c>
      <c r="V39" t="s">
        <v>918</v>
      </c>
      <c r="W39" t="s">
        <v>918</v>
      </c>
      <c r="X39" t="s">
        <v>918</v>
      </c>
      <c r="Y39" t="s">
        <v>918</v>
      </c>
      <c r="Z39" t="s">
        <v>918</v>
      </c>
      <c r="AA39" t="s">
        <v>918</v>
      </c>
      <c r="AB39" t="s">
        <v>918</v>
      </c>
    </row>
    <row r="40" spans="1:28">
      <c r="A40">
        <v>39</v>
      </c>
      <c r="B40" t="s">
        <v>28</v>
      </c>
      <c r="C40" t="s">
        <v>27</v>
      </c>
      <c r="D40" s="183" t="s">
        <v>68</v>
      </c>
      <c r="E40" t="s">
        <v>918</v>
      </c>
      <c r="F40" t="s">
        <v>918</v>
      </c>
      <c r="G40" t="s">
        <v>918</v>
      </c>
      <c r="H40" t="s">
        <v>918</v>
      </c>
      <c r="I40" t="s">
        <v>918</v>
      </c>
      <c r="J40" t="s">
        <v>918</v>
      </c>
      <c r="K40" t="s">
        <v>918</v>
      </c>
      <c r="L40" t="s">
        <v>918</v>
      </c>
      <c r="M40" t="s">
        <v>918</v>
      </c>
      <c r="N40" t="s">
        <v>918</v>
      </c>
      <c r="O40" t="s">
        <v>918</v>
      </c>
      <c r="P40" t="s">
        <v>918</v>
      </c>
      <c r="Q40" t="s">
        <v>918</v>
      </c>
      <c r="R40" t="s">
        <v>918</v>
      </c>
      <c r="S40" t="s">
        <v>918</v>
      </c>
      <c r="T40" t="s">
        <v>918</v>
      </c>
      <c r="U40" t="s">
        <v>918</v>
      </c>
      <c r="V40" t="s">
        <v>918</v>
      </c>
      <c r="W40" t="s">
        <v>918</v>
      </c>
      <c r="X40" t="s">
        <v>918</v>
      </c>
      <c r="Y40" t="s">
        <v>918</v>
      </c>
      <c r="Z40" t="s">
        <v>918</v>
      </c>
      <c r="AA40" t="s">
        <v>918</v>
      </c>
      <c r="AB40" t="s">
        <v>918</v>
      </c>
    </row>
    <row r="41" spans="1:28">
      <c r="A41">
        <v>40</v>
      </c>
      <c r="B41" t="s">
        <v>28</v>
      </c>
      <c r="C41" t="s">
        <v>27</v>
      </c>
      <c r="D41" s="188" t="s">
        <v>1064</v>
      </c>
      <c r="E41" t="s">
        <v>918</v>
      </c>
      <c r="F41" t="s">
        <v>918</v>
      </c>
      <c r="G41" t="s">
        <v>918</v>
      </c>
      <c r="H41" t="s">
        <v>918</v>
      </c>
      <c r="I41" t="s">
        <v>918</v>
      </c>
      <c r="J41" t="s">
        <v>918</v>
      </c>
      <c r="K41" t="s">
        <v>918</v>
      </c>
      <c r="L41" t="s">
        <v>918</v>
      </c>
      <c r="M41" t="s">
        <v>918</v>
      </c>
      <c r="N41" t="s">
        <v>918</v>
      </c>
      <c r="O41" t="s">
        <v>918</v>
      </c>
      <c r="P41" t="s">
        <v>918</v>
      </c>
      <c r="Q41" t="s">
        <v>918</v>
      </c>
      <c r="R41" t="s">
        <v>918</v>
      </c>
      <c r="S41" t="s">
        <v>918</v>
      </c>
      <c r="T41" t="s">
        <v>918</v>
      </c>
      <c r="U41" t="s">
        <v>918</v>
      </c>
      <c r="V41" t="s">
        <v>918</v>
      </c>
      <c r="W41" t="s">
        <v>918</v>
      </c>
      <c r="X41" t="s">
        <v>918</v>
      </c>
      <c r="Y41" t="s">
        <v>918</v>
      </c>
      <c r="Z41" t="s">
        <v>918</v>
      </c>
      <c r="AA41" t="s">
        <v>918</v>
      </c>
      <c r="AB41" t="s">
        <v>918</v>
      </c>
    </row>
    <row r="42" spans="1:28">
      <c r="A42">
        <v>41</v>
      </c>
      <c r="B42" t="s">
        <v>28</v>
      </c>
      <c r="C42" t="s">
        <v>27</v>
      </c>
      <c r="D42" s="183" t="s">
        <v>233</v>
      </c>
      <c r="E42" t="s">
        <v>918</v>
      </c>
      <c r="F42" t="s">
        <v>918</v>
      </c>
      <c r="G42" t="s">
        <v>918</v>
      </c>
      <c r="H42" t="s">
        <v>918</v>
      </c>
      <c r="I42" t="s">
        <v>918</v>
      </c>
      <c r="J42" t="s">
        <v>918</v>
      </c>
      <c r="K42" t="s">
        <v>918</v>
      </c>
      <c r="L42" t="s">
        <v>918</v>
      </c>
      <c r="M42" t="s">
        <v>918</v>
      </c>
      <c r="N42" t="s">
        <v>918</v>
      </c>
      <c r="O42" t="s">
        <v>918</v>
      </c>
      <c r="P42" t="s">
        <v>918</v>
      </c>
      <c r="Q42" t="s">
        <v>918</v>
      </c>
      <c r="R42" t="s">
        <v>918</v>
      </c>
      <c r="S42" t="s">
        <v>918</v>
      </c>
      <c r="T42" t="s">
        <v>918</v>
      </c>
      <c r="U42" t="s">
        <v>918</v>
      </c>
      <c r="V42" t="s">
        <v>918</v>
      </c>
      <c r="W42" t="s">
        <v>918</v>
      </c>
      <c r="X42" t="s">
        <v>918</v>
      </c>
      <c r="Y42" t="s">
        <v>918</v>
      </c>
      <c r="Z42" t="s">
        <v>918</v>
      </c>
      <c r="AA42" t="s">
        <v>918</v>
      </c>
      <c r="AB42" t="s">
        <v>918</v>
      </c>
    </row>
    <row r="43" spans="1:28">
      <c r="A43">
        <v>42</v>
      </c>
      <c r="B43" t="s">
        <v>25</v>
      </c>
      <c r="C43" t="s">
        <v>24</v>
      </c>
      <c r="D43" s="183" t="s">
        <v>66</v>
      </c>
      <c r="E43" t="s">
        <v>918</v>
      </c>
      <c r="F43" t="s">
        <v>918</v>
      </c>
      <c r="G43" t="s">
        <v>918</v>
      </c>
      <c r="H43" t="s">
        <v>918</v>
      </c>
      <c r="I43" t="s">
        <v>918</v>
      </c>
      <c r="J43" t="s">
        <v>918</v>
      </c>
      <c r="K43" t="s">
        <v>918</v>
      </c>
      <c r="L43" t="s">
        <v>918</v>
      </c>
      <c r="M43" t="s">
        <v>918</v>
      </c>
      <c r="N43" t="s">
        <v>918</v>
      </c>
      <c r="O43" t="s">
        <v>918</v>
      </c>
      <c r="P43" t="s">
        <v>918</v>
      </c>
      <c r="Q43" t="s">
        <v>918</v>
      </c>
      <c r="R43" t="s">
        <v>918</v>
      </c>
      <c r="S43" t="s">
        <v>918</v>
      </c>
      <c r="T43" t="s">
        <v>918</v>
      </c>
      <c r="U43" t="s">
        <v>918</v>
      </c>
      <c r="V43" t="s">
        <v>918</v>
      </c>
      <c r="W43" t="s">
        <v>918</v>
      </c>
      <c r="X43" t="s">
        <v>918</v>
      </c>
      <c r="Y43" t="s">
        <v>918</v>
      </c>
      <c r="Z43" t="s">
        <v>918</v>
      </c>
      <c r="AA43" t="s">
        <v>918</v>
      </c>
      <c r="AB43" t="s">
        <v>918</v>
      </c>
    </row>
    <row r="44" spans="1:28">
      <c r="A44">
        <v>43</v>
      </c>
      <c r="B44" t="s">
        <v>25</v>
      </c>
      <c r="C44" t="s">
        <v>24</v>
      </c>
      <c r="D44" s="183" t="s">
        <v>1060</v>
      </c>
      <c r="E44" t="s">
        <v>918</v>
      </c>
      <c r="F44" t="s">
        <v>918</v>
      </c>
      <c r="G44" t="s">
        <v>918</v>
      </c>
      <c r="H44" t="s">
        <v>918</v>
      </c>
      <c r="I44" t="s">
        <v>918</v>
      </c>
      <c r="J44" t="s">
        <v>918</v>
      </c>
      <c r="K44" t="s">
        <v>918</v>
      </c>
      <c r="L44" t="s">
        <v>918</v>
      </c>
      <c r="M44" t="s">
        <v>918</v>
      </c>
      <c r="N44" t="s">
        <v>918</v>
      </c>
      <c r="O44" t="s">
        <v>918</v>
      </c>
      <c r="P44" t="s">
        <v>918</v>
      </c>
      <c r="Q44" t="s">
        <v>918</v>
      </c>
      <c r="R44" t="s">
        <v>918</v>
      </c>
      <c r="S44" t="s">
        <v>918</v>
      </c>
      <c r="T44" t="s">
        <v>918</v>
      </c>
      <c r="U44" t="s">
        <v>918</v>
      </c>
      <c r="V44" t="s">
        <v>918</v>
      </c>
      <c r="W44" t="s">
        <v>918</v>
      </c>
      <c r="X44" t="s">
        <v>918</v>
      </c>
      <c r="Y44" t="s">
        <v>918</v>
      </c>
      <c r="Z44" t="s">
        <v>918</v>
      </c>
      <c r="AA44" t="s">
        <v>918</v>
      </c>
      <c r="AB44" t="s">
        <v>918</v>
      </c>
    </row>
    <row r="45" spans="1:28">
      <c r="A45">
        <v>44</v>
      </c>
      <c r="B45" t="s">
        <v>25</v>
      </c>
      <c r="C45" t="s">
        <v>24</v>
      </c>
      <c r="D45" s="183" t="s">
        <v>1069</v>
      </c>
      <c r="E45" t="s">
        <v>918</v>
      </c>
      <c r="F45" t="s">
        <v>918</v>
      </c>
      <c r="G45" t="s">
        <v>918</v>
      </c>
      <c r="H45" t="s">
        <v>918</v>
      </c>
      <c r="I45" t="s">
        <v>918</v>
      </c>
      <c r="J45" t="s">
        <v>918</v>
      </c>
      <c r="K45" t="s">
        <v>918</v>
      </c>
      <c r="L45" t="s">
        <v>918</v>
      </c>
      <c r="M45" t="s">
        <v>918</v>
      </c>
      <c r="N45" t="s">
        <v>918</v>
      </c>
      <c r="O45" t="s">
        <v>918</v>
      </c>
      <c r="P45" t="s">
        <v>918</v>
      </c>
      <c r="Q45" t="s">
        <v>918</v>
      </c>
      <c r="R45" t="s">
        <v>918</v>
      </c>
      <c r="S45" t="s">
        <v>918</v>
      </c>
      <c r="T45" t="s">
        <v>918</v>
      </c>
      <c r="U45" t="s">
        <v>918</v>
      </c>
      <c r="V45" t="s">
        <v>918</v>
      </c>
      <c r="W45" t="s">
        <v>918</v>
      </c>
      <c r="X45" t="s">
        <v>918</v>
      </c>
      <c r="Y45" t="s">
        <v>918</v>
      </c>
      <c r="Z45" t="s">
        <v>918</v>
      </c>
      <c r="AA45" t="s">
        <v>918</v>
      </c>
      <c r="AB45" t="s">
        <v>918</v>
      </c>
    </row>
    <row r="46" spans="1:28">
      <c r="A46">
        <v>45</v>
      </c>
      <c r="B46" t="s">
        <v>25</v>
      </c>
      <c r="C46" t="s">
        <v>24</v>
      </c>
      <c r="D46" s="183" t="s">
        <v>1070</v>
      </c>
      <c r="E46" t="s">
        <v>918</v>
      </c>
      <c r="F46" t="s">
        <v>918</v>
      </c>
      <c r="G46" t="s">
        <v>918</v>
      </c>
      <c r="H46" t="s">
        <v>918</v>
      </c>
      <c r="I46" t="s">
        <v>918</v>
      </c>
      <c r="J46" t="s">
        <v>918</v>
      </c>
      <c r="K46" t="s">
        <v>918</v>
      </c>
      <c r="L46" t="s">
        <v>918</v>
      </c>
      <c r="M46" t="s">
        <v>918</v>
      </c>
      <c r="N46" t="s">
        <v>918</v>
      </c>
      <c r="O46" t="s">
        <v>918</v>
      </c>
      <c r="P46" t="s">
        <v>918</v>
      </c>
      <c r="Q46" t="s">
        <v>918</v>
      </c>
      <c r="R46" t="s">
        <v>918</v>
      </c>
      <c r="S46" t="s">
        <v>918</v>
      </c>
      <c r="T46" t="s">
        <v>918</v>
      </c>
      <c r="U46" t="s">
        <v>918</v>
      </c>
      <c r="V46" t="s">
        <v>918</v>
      </c>
      <c r="W46" t="s">
        <v>918</v>
      </c>
      <c r="X46" t="s">
        <v>918</v>
      </c>
      <c r="Y46" t="s">
        <v>918</v>
      </c>
      <c r="Z46" t="s">
        <v>918</v>
      </c>
      <c r="AA46" t="s">
        <v>918</v>
      </c>
      <c r="AB46" t="s">
        <v>918</v>
      </c>
    </row>
    <row r="47" spans="1:28">
      <c r="A47">
        <v>46</v>
      </c>
      <c r="B47" t="s">
        <v>25</v>
      </c>
      <c r="C47" t="s">
        <v>24</v>
      </c>
      <c r="D47" s="183" t="s">
        <v>67</v>
      </c>
      <c r="E47" t="s">
        <v>918</v>
      </c>
      <c r="F47" t="s">
        <v>918</v>
      </c>
      <c r="G47" t="s">
        <v>918</v>
      </c>
      <c r="H47" t="s">
        <v>918</v>
      </c>
      <c r="I47" t="s">
        <v>918</v>
      </c>
      <c r="J47" t="s">
        <v>918</v>
      </c>
      <c r="K47" t="s">
        <v>918</v>
      </c>
      <c r="L47" t="s">
        <v>918</v>
      </c>
      <c r="M47" t="s">
        <v>918</v>
      </c>
      <c r="N47" t="s">
        <v>918</v>
      </c>
      <c r="O47" t="s">
        <v>918</v>
      </c>
      <c r="P47" t="s">
        <v>918</v>
      </c>
      <c r="Q47" t="s">
        <v>918</v>
      </c>
      <c r="R47" t="s">
        <v>918</v>
      </c>
      <c r="S47" t="s">
        <v>918</v>
      </c>
      <c r="T47" t="s">
        <v>918</v>
      </c>
      <c r="U47" t="s">
        <v>918</v>
      </c>
      <c r="V47" t="s">
        <v>918</v>
      </c>
      <c r="W47" t="s">
        <v>918</v>
      </c>
      <c r="X47" t="s">
        <v>918</v>
      </c>
      <c r="Y47" t="s">
        <v>918</v>
      </c>
      <c r="Z47" t="s">
        <v>918</v>
      </c>
      <c r="AA47" t="s">
        <v>918</v>
      </c>
      <c r="AB47" t="s">
        <v>918</v>
      </c>
    </row>
    <row r="48" spans="1:28">
      <c r="A48">
        <v>47</v>
      </c>
      <c r="B48" t="s">
        <v>25</v>
      </c>
      <c r="C48" t="s">
        <v>24</v>
      </c>
      <c r="D48" s="183" t="s">
        <v>68</v>
      </c>
      <c r="E48" t="s">
        <v>918</v>
      </c>
      <c r="F48" t="s">
        <v>918</v>
      </c>
      <c r="G48" t="s">
        <v>918</v>
      </c>
      <c r="H48" t="s">
        <v>918</v>
      </c>
      <c r="I48" t="s">
        <v>918</v>
      </c>
      <c r="J48" t="s">
        <v>918</v>
      </c>
      <c r="K48" t="s">
        <v>918</v>
      </c>
      <c r="L48" t="s">
        <v>918</v>
      </c>
      <c r="M48" t="s">
        <v>918</v>
      </c>
      <c r="N48" t="s">
        <v>918</v>
      </c>
      <c r="O48" t="s">
        <v>918</v>
      </c>
      <c r="P48" t="s">
        <v>918</v>
      </c>
      <c r="Q48" t="s">
        <v>918</v>
      </c>
      <c r="R48" t="s">
        <v>918</v>
      </c>
      <c r="S48" t="s">
        <v>918</v>
      </c>
      <c r="T48" t="s">
        <v>918</v>
      </c>
      <c r="U48" t="s">
        <v>918</v>
      </c>
      <c r="V48" t="s">
        <v>918</v>
      </c>
      <c r="W48" t="s">
        <v>918</v>
      </c>
      <c r="X48" t="s">
        <v>918</v>
      </c>
      <c r="Y48" t="s">
        <v>918</v>
      </c>
      <c r="Z48" t="s">
        <v>918</v>
      </c>
      <c r="AA48" t="s">
        <v>918</v>
      </c>
      <c r="AB48" t="s">
        <v>918</v>
      </c>
    </row>
    <row r="49" spans="1:28">
      <c r="A49">
        <v>48</v>
      </c>
      <c r="B49" t="s">
        <v>25</v>
      </c>
      <c r="C49" t="s">
        <v>24</v>
      </c>
      <c r="D49" s="188" t="s">
        <v>1064</v>
      </c>
      <c r="E49" t="s">
        <v>918</v>
      </c>
      <c r="F49" t="s">
        <v>918</v>
      </c>
      <c r="G49" t="s">
        <v>918</v>
      </c>
      <c r="H49" t="s">
        <v>918</v>
      </c>
      <c r="I49" t="s">
        <v>918</v>
      </c>
      <c r="J49" t="s">
        <v>918</v>
      </c>
      <c r="K49" t="s">
        <v>918</v>
      </c>
      <c r="L49" t="s">
        <v>918</v>
      </c>
      <c r="M49" t="s">
        <v>918</v>
      </c>
      <c r="N49" t="s">
        <v>918</v>
      </c>
      <c r="O49" t="s">
        <v>918</v>
      </c>
      <c r="P49" t="s">
        <v>918</v>
      </c>
      <c r="Q49" t="s">
        <v>918</v>
      </c>
      <c r="R49" t="s">
        <v>918</v>
      </c>
      <c r="S49" t="s">
        <v>918</v>
      </c>
      <c r="T49" t="s">
        <v>918</v>
      </c>
      <c r="U49" t="s">
        <v>918</v>
      </c>
      <c r="V49" t="s">
        <v>918</v>
      </c>
      <c r="W49" t="s">
        <v>918</v>
      </c>
      <c r="X49" t="s">
        <v>918</v>
      </c>
      <c r="Y49" t="s">
        <v>918</v>
      </c>
      <c r="Z49" t="s">
        <v>918</v>
      </c>
      <c r="AA49" t="s">
        <v>918</v>
      </c>
      <c r="AB49" t="s">
        <v>918</v>
      </c>
    </row>
    <row r="50" spans="1:28">
      <c r="A50">
        <v>49</v>
      </c>
      <c r="B50" t="s">
        <v>25</v>
      </c>
      <c r="C50" t="s">
        <v>24</v>
      </c>
      <c r="D50" s="183" t="s">
        <v>233</v>
      </c>
      <c r="E50" t="s">
        <v>918</v>
      </c>
      <c r="F50" t="s">
        <v>918</v>
      </c>
      <c r="G50" t="s">
        <v>918</v>
      </c>
      <c r="H50" t="s">
        <v>918</v>
      </c>
      <c r="I50" t="s">
        <v>918</v>
      </c>
      <c r="J50" t="s">
        <v>918</v>
      </c>
      <c r="K50" t="s">
        <v>918</v>
      </c>
      <c r="L50" t="s">
        <v>918</v>
      </c>
      <c r="M50" t="s">
        <v>918</v>
      </c>
      <c r="N50" t="s">
        <v>918</v>
      </c>
      <c r="O50" t="s">
        <v>918</v>
      </c>
      <c r="P50" t="s">
        <v>918</v>
      </c>
      <c r="Q50" t="s">
        <v>918</v>
      </c>
      <c r="R50" t="s">
        <v>918</v>
      </c>
      <c r="S50" t="s">
        <v>918</v>
      </c>
      <c r="T50" t="s">
        <v>918</v>
      </c>
      <c r="U50" t="s">
        <v>918</v>
      </c>
      <c r="V50" t="s">
        <v>918</v>
      </c>
      <c r="W50" t="s">
        <v>918</v>
      </c>
      <c r="X50" t="s">
        <v>918</v>
      </c>
      <c r="Y50" t="s">
        <v>918</v>
      </c>
      <c r="Z50" t="s">
        <v>918</v>
      </c>
      <c r="AA50" t="s">
        <v>918</v>
      </c>
      <c r="AB50" t="s">
        <v>918</v>
      </c>
    </row>
    <row r="51" spans="1:28">
      <c r="A51">
        <v>50</v>
      </c>
      <c r="B51" t="s">
        <v>23</v>
      </c>
      <c r="C51" t="s">
        <v>22</v>
      </c>
      <c r="D51" s="183" t="s">
        <v>66</v>
      </c>
      <c r="E51" t="s">
        <v>918</v>
      </c>
      <c r="F51" t="s">
        <v>918</v>
      </c>
      <c r="G51" t="s">
        <v>918</v>
      </c>
      <c r="H51" t="s">
        <v>918</v>
      </c>
      <c r="I51" t="s">
        <v>918</v>
      </c>
      <c r="J51" t="s">
        <v>918</v>
      </c>
      <c r="K51" t="s">
        <v>918</v>
      </c>
      <c r="L51" t="s">
        <v>918</v>
      </c>
      <c r="M51" t="s">
        <v>918</v>
      </c>
      <c r="N51" t="s">
        <v>918</v>
      </c>
      <c r="O51" t="s">
        <v>918</v>
      </c>
      <c r="P51" t="s">
        <v>918</v>
      </c>
      <c r="Q51" t="s">
        <v>918</v>
      </c>
      <c r="R51" t="s">
        <v>918</v>
      </c>
      <c r="S51" t="s">
        <v>918</v>
      </c>
      <c r="T51" t="s">
        <v>918</v>
      </c>
      <c r="U51" t="s">
        <v>918</v>
      </c>
      <c r="V51" t="s">
        <v>918</v>
      </c>
      <c r="W51" t="s">
        <v>918</v>
      </c>
      <c r="X51" t="s">
        <v>918</v>
      </c>
      <c r="Y51" t="s">
        <v>918</v>
      </c>
      <c r="Z51" t="s">
        <v>918</v>
      </c>
      <c r="AA51" t="s">
        <v>918</v>
      </c>
      <c r="AB51" t="s">
        <v>918</v>
      </c>
    </row>
    <row r="52" spans="1:28">
      <c r="A52">
        <v>51</v>
      </c>
      <c r="B52" t="s">
        <v>23</v>
      </c>
      <c r="C52" t="s">
        <v>22</v>
      </c>
      <c r="D52" s="183" t="s">
        <v>1060</v>
      </c>
      <c r="E52" t="s">
        <v>918</v>
      </c>
      <c r="F52" t="s">
        <v>918</v>
      </c>
      <c r="G52" t="s">
        <v>918</v>
      </c>
      <c r="H52" t="s">
        <v>918</v>
      </c>
      <c r="I52" t="s">
        <v>918</v>
      </c>
      <c r="J52" t="s">
        <v>918</v>
      </c>
      <c r="K52" t="s">
        <v>918</v>
      </c>
      <c r="L52" t="s">
        <v>918</v>
      </c>
      <c r="M52" t="s">
        <v>918</v>
      </c>
      <c r="N52" t="s">
        <v>918</v>
      </c>
      <c r="O52" t="s">
        <v>918</v>
      </c>
      <c r="P52" t="s">
        <v>918</v>
      </c>
      <c r="Q52" t="s">
        <v>918</v>
      </c>
      <c r="R52" t="s">
        <v>918</v>
      </c>
      <c r="S52" t="s">
        <v>918</v>
      </c>
      <c r="T52" t="s">
        <v>918</v>
      </c>
      <c r="U52" t="s">
        <v>918</v>
      </c>
      <c r="V52" t="s">
        <v>918</v>
      </c>
      <c r="W52" t="s">
        <v>918</v>
      </c>
      <c r="X52" t="s">
        <v>918</v>
      </c>
      <c r="Y52" t="s">
        <v>918</v>
      </c>
      <c r="Z52" t="s">
        <v>918</v>
      </c>
      <c r="AA52" t="s">
        <v>918</v>
      </c>
      <c r="AB52" t="s">
        <v>918</v>
      </c>
    </row>
    <row r="53" spans="1:28">
      <c r="A53">
        <v>52</v>
      </c>
      <c r="B53" t="s">
        <v>23</v>
      </c>
      <c r="C53" t="s">
        <v>22</v>
      </c>
      <c r="D53" s="183" t="s">
        <v>1071</v>
      </c>
      <c r="E53" t="s">
        <v>918</v>
      </c>
      <c r="F53" t="s">
        <v>918</v>
      </c>
      <c r="G53" t="s">
        <v>918</v>
      </c>
      <c r="H53" t="s">
        <v>918</v>
      </c>
      <c r="I53" t="s">
        <v>918</v>
      </c>
      <c r="J53" t="s">
        <v>918</v>
      </c>
      <c r="K53" t="s">
        <v>918</v>
      </c>
      <c r="L53" t="s">
        <v>918</v>
      </c>
      <c r="M53" t="s">
        <v>918</v>
      </c>
      <c r="N53" t="s">
        <v>918</v>
      </c>
      <c r="O53" t="s">
        <v>918</v>
      </c>
      <c r="P53" t="s">
        <v>918</v>
      </c>
      <c r="Q53" t="s">
        <v>918</v>
      </c>
      <c r="R53" t="s">
        <v>918</v>
      </c>
      <c r="S53" t="s">
        <v>918</v>
      </c>
      <c r="T53" t="s">
        <v>918</v>
      </c>
      <c r="U53" t="s">
        <v>918</v>
      </c>
      <c r="V53" t="s">
        <v>918</v>
      </c>
      <c r="W53" t="s">
        <v>918</v>
      </c>
      <c r="X53" t="s">
        <v>918</v>
      </c>
      <c r="Y53" t="s">
        <v>918</v>
      </c>
      <c r="Z53" t="s">
        <v>918</v>
      </c>
      <c r="AA53" t="s">
        <v>918</v>
      </c>
      <c r="AB53" t="s">
        <v>918</v>
      </c>
    </row>
    <row r="54" spans="1:28">
      <c r="A54">
        <v>53</v>
      </c>
      <c r="B54" t="s">
        <v>23</v>
      </c>
      <c r="C54" t="s">
        <v>22</v>
      </c>
      <c r="D54" s="183" t="s">
        <v>1072</v>
      </c>
      <c r="E54" t="s">
        <v>918</v>
      </c>
      <c r="F54" t="s">
        <v>918</v>
      </c>
      <c r="G54" t="s">
        <v>918</v>
      </c>
      <c r="H54" t="s">
        <v>918</v>
      </c>
      <c r="I54" t="s">
        <v>918</v>
      </c>
      <c r="J54" t="s">
        <v>918</v>
      </c>
      <c r="K54" t="s">
        <v>918</v>
      </c>
      <c r="L54" t="s">
        <v>918</v>
      </c>
      <c r="M54" t="s">
        <v>918</v>
      </c>
      <c r="N54" t="s">
        <v>918</v>
      </c>
      <c r="O54" t="s">
        <v>918</v>
      </c>
      <c r="P54" t="s">
        <v>918</v>
      </c>
      <c r="Q54" t="s">
        <v>918</v>
      </c>
      <c r="R54" t="s">
        <v>918</v>
      </c>
      <c r="S54" t="s">
        <v>918</v>
      </c>
      <c r="T54" t="s">
        <v>918</v>
      </c>
      <c r="U54" t="s">
        <v>918</v>
      </c>
      <c r="V54" t="s">
        <v>918</v>
      </c>
      <c r="W54" t="s">
        <v>918</v>
      </c>
      <c r="X54" t="s">
        <v>918</v>
      </c>
      <c r="Y54" t="s">
        <v>918</v>
      </c>
      <c r="Z54" t="s">
        <v>918</v>
      </c>
      <c r="AA54" t="s">
        <v>918</v>
      </c>
      <c r="AB54" t="s">
        <v>918</v>
      </c>
    </row>
    <row r="55" spans="1:28">
      <c r="A55">
        <v>54</v>
      </c>
      <c r="B55" t="s">
        <v>23</v>
      </c>
      <c r="C55" t="s">
        <v>22</v>
      </c>
      <c r="D55" s="183" t="s">
        <v>67</v>
      </c>
      <c r="E55" t="s">
        <v>918</v>
      </c>
      <c r="F55" t="s">
        <v>918</v>
      </c>
      <c r="G55" t="s">
        <v>918</v>
      </c>
      <c r="H55" t="s">
        <v>918</v>
      </c>
      <c r="I55" t="s">
        <v>918</v>
      </c>
      <c r="J55" t="s">
        <v>918</v>
      </c>
      <c r="K55" t="s">
        <v>918</v>
      </c>
      <c r="L55" t="s">
        <v>918</v>
      </c>
      <c r="M55" t="s">
        <v>918</v>
      </c>
      <c r="N55" t="s">
        <v>918</v>
      </c>
      <c r="O55" t="s">
        <v>918</v>
      </c>
      <c r="P55" t="s">
        <v>918</v>
      </c>
      <c r="Q55" t="s">
        <v>918</v>
      </c>
      <c r="R55" t="s">
        <v>918</v>
      </c>
      <c r="S55" t="s">
        <v>918</v>
      </c>
      <c r="T55" t="s">
        <v>918</v>
      </c>
      <c r="U55" t="s">
        <v>918</v>
      </c>
      <c r="V55" t="s">
        <v>918</v>
      </c>
      <c r="W55" t="s">
        <v>918</v>
      </c>
      <c r="X55" t="s">
        <v>918</v>
      </c>
      <c r="Y55" t="s">
        <v>918</v>
      </c>
      <c r="Z55" t="s">
        <v>918</v>
      </c>
      <c r="AA55" t="s">
        <v>918</v>
      </c>
      <c r="AB55" t="s">
        <v>918</v>
      </c>
    </row>
    <row r="56" spans="1:28">
      <c r="A56">
        <v>55</v>
      </c>
      <c r="B56" t="s">
        <v>23</v>
      </c>
      <c r="C56" t="s">
        <v>22</v>
      </c>
      <c r="D56" s="183" t="s">
        <v>68</v>
      </c>
      <c r="E56" t="s">
        <v>918</v>
      </c>
      <c r="F56" t="s">
        <v>918</v>
      </c>
      <c r="G56" t="s">
        <v>918</v>
      </c>
      <c r="H56" t="s">
        <v>918</v>
      </c>
      <c r="I56" t="s">
        <v>918</v>
      </c>
      <c r="J56" t="s">
        <v>918</v>
      </c>
      <c r="K56" t="s">
        <v>918</v>
      </c>
      <c r="L56" t="s">
        <v>918</v>
      </c>
      <c r="M56" t="s">
        <v>918</v>
      </c>
      <c r="N56" t="s">
        <v>918</v>
      </c>
      <c r="O56" t="s">
        <v>918</v>
      </c>
      <c r="P56" t="s">
        <v>918</v>
      </c>
      <c r="Q56" t="s">
        <v>918</v>
      </c>
      <c r="R56" t="s">
        <v>918</v>
      </c>
      <c r="S56" t="s">
        <v>918</v>
      </c>
      <c r="T56" t="s">
        <v>918</v>
      </c>
      <c r="U56" t="s">
        <v>918</v>
      </c>
      <c r="V56" t="s">
        <v>918</v>
      </c>
      <c r="W56" t="s">
        <v>918</v>
      </c>
      <c r="X56" t="s">
        <v>918</v>
      </c>
      <c r="Y56" t="s">
        <v>918</v>
      </c>
      <c r="Z56" t="s">
        <v>918</v>
      </c>
      <c r="AA56" t="s">
        <v>918</v>
      </c>
      <c r="AB56" t="s">
        <v>918</v>
      </c>
    </row>
    <row r="57" spans="1:28">
      <c r="A57">
        <v>56</v>
      </c>
      <c r="B57" t="s">
        <v>23</v>
      </c>
      <c r="C57" t="s">
        <v>22</v>
      </c>
      <c r="D57" s="188" t="s">
        <v>1064</v>
      </c>
      <c r="E57" t="s">
        <v>918</v>
      </c>
      <c r="F57" t="s">
        <v>918</v>
      </c>
      <c r="G57" t="s">
        <v>918</v>
      </c>
      <c r="H57" t="s">
        <v>918</v>
      </c>
      <c r="I57" t="s">
        <v>918</v>
      </c>
      <c r="J57" t="s">
        <v>918</v>
      </c>
      <c r="K57" t="s">
        <v>918</v>
      </c>
      <c r="L57" t="s">
        <v>918</v>
      </c>
      <c r="M57" t="s">
        <v>918</v>
      </c>
      <c r="N57" t="s">
        <v>918</v>
      </c>
      <c r="O57" t="s">
        <v>918</v>
      </c>
      <c r="P57" t="s">
        <v>918</v>
      </c>
      <c r="Q57" t="s">
        <v>918</v>
      </c>
      <c r="R57" t="s">
        <v>918</v>
      </c>
      <c r="S57" t="s">
        <v>918</v>
      </c>
      <c r="T57" t="s">
        <v>918</v>
      </c>
      <c r="U57" t="s">
        <v>918</v>
      </c>
      <c r="V57" t="s">
        <v>918</v>
      </c>
      <c r="W57" t="s">
        <v>918</v>
      </c>
      <c r="X57" t="s">
        <v>918</v>
      </c>
      <c r="Y57" t="s">
        <v>918</v>
      </c>
      <c r="Z57" t="s">
        <v>918</v>
      </c>
      <c r="AA57" t="s">
        <v>918</v>
      </c>
      <c r="AB57" t="s">
        <v>918</v>
      </c>
    </row>
    <row r="58" spans="1:28">
      <c r="A58">
        <v>57</v>
      </c>
      <c r="B58" t="s">
        <v>23</v>
      </c>
      <c r="C58" t="s">
        <v>22</v>
      </c>
      <c r="D58" s="183" t="s">
        <v>233</v>
      </c>
      <c r="E58" t="s">
        <v>918</v>
      </c>
      <c r="F58" t="s">
        <v>918</v>
      </c>
      <c r="G58" t="s">
        <v>918</v>
      </c>
      <c r="H58" t="s">
        <v>918</v>
      </c>
      <c r="I58" t="s">
        <v>918</v>
      </c>
      <c r="J58" t="s">
        <v>918</v>
      </c>
      <c r="K58" t="s">
        <v>918</v>
      </c>
      <c r="L58" t="s">
        <v>918</v>
      </c>
      <c r="M58" t="s">
        <v>918</v>
      </c>
      <c r="N58" t="s">
        <v>918</v>
      </c>
      <c r="O58" t="s">
        <v>918</v>
      </c>
      <c r="P58" t="s">
        <v>918</v>
      </c>
      <c r="Q58" t="s">
        <v>918</v>
      </c>
      <c r="R58" t="s">
        <v>918</v>
      </c>
      <c r="S58" t="s">
        <v>918</v>
      </c>
      <c r="T58" t="s">
        <v>918</v>
      </c>
      <c r="U58" t="s">
        <v>918</v>
      </c>
      <c r="V58" t="s">
        <v>918</v>
      </c>
      <c r="W58" t="s">
        <v>918</v>
      </c>
      <c r="X58" t="s">
        <v>918</v>
      </c>
      <c r="Y58" t="s">
        <v>918</v>
      </c>
      <c r="Z58" t="s">
        <v>918</v>
      </c>
      <c r="AA58" t="s">
        <v>918</v>
      </c>
      <c r="AB58" t="s">
        <v>918</v>
      </c>
    </row>
    <row r="59" spans="1:28">
      <c r="A59">
        <v>58</v>
      </c>
      <c r="B59" t="s">
        <v>20</v>
      </c>
      <c r="C59" t="s">
        <v>19</v>
      </c>
      <c r="D59" s="183" t="s">
        <v>66</v>
      </c>
      <c r="E59" t="s">
        <v>918</v>
      </c>
      <c r="F59" t="s">
        <v>918</v>
      </c>
      <c r="G59" t="s">
        <v>918</v>
      </c>
      <c r="H59" t="s">
        <v>918</v>
      </c>
      <c r="I59" t="s">
        <v>918</v>
      </c>
      <c r="J59" t="s">
        <v>918</v>
      </c>
      <c r="K59" t="s">
        <v>918</v>
      </c>
      <c r="L59" t="s">
        <v>918</v>
      </c>
      <c r="M59" t="s">
        <v>918</v>
      </c>
      <c r="N59" t="s">
        <v>918</v>
      </c>
      <c r="O59" t="s">
        <v>918</v>
      </c>
      <c r="P59" t="s">
        <v>918</v>
      </c>
      <c r="Q59" t="s">
        <v>918</v>
      </c>
      <c r="R59" t="s">
        <v>918</v>
      </c>
      <c r="S59" t="s">
        <v>918</v>
      </c>
      <c r="T59" t="s">
        <v>918</v>
      </c>
      <c r="U59" t="s">
        <v>918</v>
      </c>
      <c r="V59" t="s">
        <v>918</v>
      </c>
      <c r="W59" t="s">
        <v>918</v>
      </c>
      <c r="X59" t="s">
        <v>918</v>
      </c>
      <c r="Y59" t="s">
        <v>918</v>
      </c>
      <c r="Z59" t="s">
        <v>918</v>
      </c>
      <c r="AA59" t="s">
        <v>918</v>
      </c>
      <c r="AB59" t="s">
        <v>918</v>
      </c>
    </row>
    <row r="60" spans="1:28">
      <c r="A60">
        <v>59</v>
      </c>
      <c r="B60" t="s">
        <v>20</v>
      </c>
      <c r="C60" t="s">
        <v>19</v>
      </c>
      <c r="D60" s="183" t="s">
        <v>1060</v>
      </c>
      <c r="E60" t="s">
        <v>918</v>
      </c>
      <c r="F60" t="s">
        <v>918</v>
      </c>
      <c r="G60" t="s">
        <v>918</v>
      </c>
      <c r="H60" t="s">
        <v>918</v>
      </c>
      <c r="I60" t="s">
        <v>918</v>
      </c>
      <c r="J60" t="s">
        <v>918</v>
      </c>
      <c r="K60" t="s">
        <v>918</v>
      </c>
      <c r="L60" t="s">
        <v>918</v>
      </c>
      <c r="M60" t="s">
        <v>918</v>
      </c>
      <c r="N60" t="s">
        <v>918</v>
      </c>
      <c r="O60" t="s">
        <v>918</v>
      </c>
      <c r="P60" t="s">
        <v>918</v>
      </c>
      <c r="Q60" t="s">
        <v>918</v>
      </c>
      <c r="R60" t="s">
        <v>918</v>
      </c>
      <c r="S60" t="s">
        <v>918</v>
      </c>
      <c r="T60" t="s">
        <v>918</v>
      </c>
      <c r="U60" t="s">
        <v>918</v>
      </c>
      <c r="V60" t="s">
        <v>918</v>
      </c>
      <c r="W60" t="s">
        <v>918</v>
      </c>
      <c r="X60" t="s">
        <v>918</v>
      </c>
      <c r="Y60" t="s">
        <v>918</v>
      </c>
      <c r="Z60" t="s">
        <v>918</v>
      </c>
      <c r="AA60" t="s">
        <v>918</v>
      </c>
      <c r="AB60" t="s">
        <v>918</v>
      </c>
    </row>
    <row r="61" spans="1:28">
      <c r="A61">
        <v>60</v>
      </c>
      <c r="B61" t="s">
        <v>20</v>
      </c>
      <c r="C61" t="s">
        <v>19</v>
      </c>
      <c r="D61" s="183" t="s">
        <v>1073</v>
      </c>
      <c r="E61" t="s">
        <v>918</v>
      </c>
      <c r="F61" t="s">
        <v>918</v>
      </c>
      <c r="G61" t="s">
        <v>918</v>
      </c>
      <c r="H61" t="s">
        <v>918</v>
      </c>
      <c r="I61" t="s">
        <v>918</v>
      </c>
      <c r="J61" t="s">
        <v>918</v>
      </c>
      <c r="K61" t="s">
        <v>918</v>
      </c>
      <c r="L61" t="s">
        <v>918</v>
      </c>
      <c r="M61" t="s">
        <v>918</v>
      </c>
      <c r="N61" t="s">
        <v>918</v>
      </c>
      <c r="O61" t="s">
        <v>918</v>
      </c>
      <c r="P61" t="s">
        <v>918</v>
      </c>
      <c r="Q61" t="s">
        <v>918</v>
      </c>
      <c r="R61" t="s">
        <v>918</v>
      </c>
      <c r="S61" t="s">
        <v>918</v>
      </c>
      <c r="T61" t="s">
        <v>918</v>
      </c>
      <c r="U61" t="s">
        <v>918</v>
      </c>
      <c r="V61" t="s">
        <v>918</v>
      </c>
      <c r="W61" t="s">
        <v>918</v>
      </c>
      <c r="X61" t="s">
        <v>918</v>
      </c>
      <c r="Y61" t="s">
        <v>918</v>
      </c>
      <c r="Z61" t="s">
        <v>918</v>
      </c>
      <c r="AA61" t="s">
        <v>918</v>
      </c>
      <c r="AB61" t="s">
        <v>918</v>
      </c>
    </row>
    <row r="62" spans="1:28">
      <c r="A62">
        <v>61</v>
      </c>
      <c r="B62" t="s">
        <v>20</v>
      </c>
      <c r="C62" t="s">
        <v>19</v>
      </c>
      <c r="D62" s="183" t="s">
        <v>1074</v>
      </c>
      <c r="E62" t="s">
        <v>918</v>
      </c>
      <c r="F62" t="s">
        <v>918</v>
      </c>
      <c r="G62" t="s">
        <v>918</v>
      </c>
      <c r="H62" t="s">
        <v>918</v>
      </c>
      <c r="I62" t="s">
        <v>918</v>
      </c>
      <c r="J62" t="s">
        <v>918</v>
      </c>
      <c r="K62" t="s">
        <v>918</v>
      </c>
      <c r="L62" t="s">
        <v>918</v>
      </c>
      <c r="M62" t="s">
        <v>918</v>
      </c>
      <c r="N62" t="s">
        <v>918</v>
      </c>
      <c r="O62" t="s">
        <v>918</v>
      </c>
      <c r="P62" t="s">
        <v>918</v>
      </c>
      <c r="Q62" t="s">
        <v>918</v>
      </c>
      <c r="R62" t="s">
        <v>918</v>
      </c>
      <c r="S62" t="s">
        <v>918</v>
      </c>
      <c r="T62" t="s">
        <v>918</v>
      </c>
      <c r="U62" t="s">
        <v>918</v>
      </c>
      <c r="V62" t="s">
        <v>918</v>
      </c>
      <c r="W62" t="s">
        <v>918</v>
      </c>
      <c r="X62" t="s">
        <v>918</v>
      </c>
      <c r="Y62" t="s">
        <v>918</v>
      </c>
      <c r="Z62" t="s">
        <v>918</v>
      </c>
      <c r="AA62" t="s">
        <v>918</v>
      </c>
      <c r="AB62" t="s">
        <v>918</v>
      </c>
    </row>
    <row r="63" spans="1:28">
      <c r="A63">
        <v>62</v>
      </c>
      <c r="B63" t="s">
        <v>20</v>
      </c>
      <c r="C63" t="s">
        <v>19</v>
      </c>
      <c r="D63" s="183" t="s">
        <v>67</v>
      </c>
      <c r="E63" t="s">
        <v>918</v>
      </c>
      <c r="F63" t="s">
        <v>918</v>
      </c>
      <c r="G63" t="s">
        <v>918</v>
      </c>
      <c r="H63" t="s">
        <v>918</v>
      </c>
      <c r="I63" t="s">
        <v>918</v>
      </c>
      <c r="J63" t="s">
        <v>918</v>
      </c>
      <c r="K63" t="s">
        <v>918</v>
      </c>
      <c r="L63" t="s">
        <v>918</v>
      </c>
      <c r="M63" t="s">
        <v>918</v>
      </c>
      <c r="N63" t="s">
        <v>918</v>
      </c>
      <c r="O63" t="s">
        <v>918</v>
      </c>
      <c r="P63" t="s">
        <v>918</v>
      </c>
      <c r="Q63" t="s">
        <v>918</v>
      </c>
      <c r="R63" t="s">
        <v>918</v>
      </c>
      <c r="S63" t="s">
        <v>918</v>
      </c>
      <c r="T63" t="s">
        <v>918</v>
      </c>
      <c r="U63" t="s">
        <v>918</v>
      </c>
      <c r="V63" t="s">
        <v>918</v>
      </c>
      <c r="W63" t="s">
        <v>918</v>
      </c>
      <c r="X63" t="s">
        <v>918</v>
      </c>
      <c r="Y63" t="s">
        <v>918</v>
      </c>
      <c r="Z63" t="s">
        <v>918</v>
      </c>
      <c r="AA63" t="s">
        <v>918</v>
      </c>
      <c r="AB63" t="s">
        <v>918</v>
      </c>
    </row>
    <row r="64" spans="1:28">
      <c r="A64">
        <v>63</v>
      </c>
      <c r="B64" t="s">
        <v>20</v>
      </c>
      <c r="C64" t="s">
        <v>19</v>
      </c>
      <c r="D64" s="183" t="s">
        <v>68</v>
      </c>
      <c r="E64" t="s">
        <v>918</v>
      </c>
      <c r="F64" t="s">
        <v>918</v>
      </c>
      <c r="G64" t="s">
        <v>918</v>
      </c>
      <c r="H64" t="s">
        <v>918</v>
      </c>
      <c r="I64" t="s">
        <v>918</v>
      </c>
      <c r="J64" t="s">
        <v>918</v>
      </c>
      <c r="K64" t="s">
        <v>918</v>
      </c>
      <c r="L64" t="s">
        <v>918</v>
      </c>
      <c r="M64" t="s">
        <v>918</v>
      </c>
      <c r="N64" t="s">
        <v>918</v>
      </c>
      <c r="O64" t="s">
        <v>918</v>
      </c>
      <c r="P64" t="s">
        <v>918</v>
      </c>
      <c r="Q64" t="s">
        <v>918</v>
      </c>
      <c r="R64" t="s">
        <v>918</v>
      </c>
      <c r="S64" t="s">
        <v>918</v>
      </c>
      <c r="T64" t="s">
        <v>918</v>
      </c>
      <c r="U64" t="s">
        <v>918</v>
      </c>
      <c r="V64" t="s">
        <v>918</v>
      </c>
      <c r="W64" t="s">
        <v>918</v>
      </c>
      <c r="X64" t="s">
        <v>918</v>
      </c>
      <c r="Y64" t="s">
        <v>918</v>
      </c>
      <c r="Z64" t="s">
        <v>918</v>
      </c>
      <c r="AA64" t="s">
        <v>918</v>
      </c>
      <c r="AB64" t="s">
        <v>918</v>
      </c>
    </row>
    <row r="65" spans="1:28">
      <c r="A65">
        <v>64</v>
      </c>
      <c r="B65" t="s">
        <v>20</v>
      </c>
      <c r="C65" t="s">
        <v>19</v>
      </c>
      <c r="D65" s="188" t="s">
        <v>1064</v>
      </c>
      <c r="E65" t="s">
        <v>918</v>
      </c>
      <c r="F65" t="s">
        <v>918</v>
      </c>
      <c r="G65" t="s">
        <v>918</v>
      </c>
      <c r="H65" t="s">
        <v>918</v>
      </c>
      <c r="I65" t="s">
        <v>918</v>
      </c>
      <c r="J65" t="s">
        <v>918</v>
      </c>
      <c r="K65" t="s">
        <v>918</v>
      </c>
      <c r="L65" t="s">
        <v>918</v>
      </c>
      <c r="M65" t="s">
        <v>918</v>
      </c>
      <c r="N65" t="s">
        <v>918</v>
      </c>
      <c r="O65" t="s">
        <v>918</v>
      </c>
      <c r="P65" t="s">
        <v>918</v>
      </c>
      <c r="Q65" t="s">
        <v>918</v>
      </c>
      <c r="R65" t="s">
        <v>918</v>
      </c>
      <c r="S65" t="s">
        <v>918</v>
      </c>
      <c r="T65" t="s">
        <v>918</v>
      </c>
      <c r="U65" t="s">
        <v>918</v>
      </c>
      <c r="V65" t="s">
        <v>918</v>
      </c>
      <c r="W65" t="s">
        <v>918</v>
      </c>
      <c r="X65" t="s">
        <v>918</v>
      </c>
      <c r="Y65" t="s">
        <v>918</v>
      </c>
      <c r="Z65" t="s">
        <v>918</v>
      </c>
      <c r="AA65" t="s">
        <v>918</v>
      </c>
      <c r="AB65" t="s">
        <v>918</v>
      </c>
    </row>
    <row r="66" spans="1:28">
      <c r="A66">
        <v>65</v>
      </c>
      <c r="B66" t="s">
        <v>20</v>
      </c>
      <c r="C66" t="s">
        <v>19</v>
      </c>
      <c r="D66" s="183" t="s">
        <v>233</v>
      </c>
      <c r="E66" t="s">
        <v>918</v>
      </c>
      <c r="F66" t="s">
        <v>918</v>
      </c>
      <c r="G66" t="s">
        <v>918</v>
      </c>
      <c r="H66" t="s">
        <v>918</v>
      </c>
      <c r="I66" t="s">
        <v>918</v>
      </c>
      <c r="J66" t="s">
        <v>918</v>
      </c>
      <c r="K66" t="s">
        <v>918</v>
      </c>
      <c r="L66" t="s">
        <v>918</v>
      </c>
      <c r="M66" t="s">
        <v>918</v>
      </c>
      <c r="N66" t="s">
        <v>918</v>
      </c>
      <c r="O66" t="s">
        <v>918</v>
      </c>
      <c r="P66" t="s">
        <v>918</v>
      </c>
      <c r="Q66" t="s">
        <v>918</v>
      </c>
      <c r="R66" t="s">
        <v>918</v>
      </c>
      <c r="S66" t="s">
        <v>918</v>
      </c>
      <c r="T66" t="s">
        <v>918</v>
      </c>
      <c r="U66" t="s">
        <v>918</v>
      </c>
      <c r="V66" t="s">
        <v>918</v>
      </c>
      <c r="W66" t="s">
        <v>918</v>
      </c>
      <c r="X66" t="s">
        <v>918</v>
      </c>
      <c r="Y66" t="s">
        <v>918</v>
      </c>
      <c r="Z66" t="s">
        <v>918</v>
      </c>
      <c r="AA66" t="s">
        <v>918</v>
      </c>
      <c r="AB66" t="s">
        <v>918</v>
      </c>
    </row>
    <row r="67" spans="1:28">
      <c r="A67">
        <v>66</v>
      </c>
      <c r="B67" t="s">
        <v>233</v>
      </c>
      <c r="C67" t="s">
        <v>233</v>
      </c>
      <c r="D67" s="183" t="s">
        <v>66</v>
      </c>
      <c r="E67" t="s">
        <v>918</v>
      </c>
      <c r="F67" t="s">
        <v>918</v>
      </c>
      <c r="G67" t="s">
        <v>918</v>
      </c>
      <c r="H67" t="s">
        <v>918</v>
      </c>
      <c r="I67" t="s">
        <v>918</v>
      </c>
      <c r="J67" t="s">
        <v>918</v>
      </c>
      <c r="K67" t="s">
        <v>918</v>
      </c>
      <c r="L67" t="s">
        <v>918</v>
      </c>
      <c r="M67" t="s">
        <v>918</v>
      </c>
      <c r="N67" t="s">
        <v>918</v>
      </c>
      <c r="O67" t="s">
        <v>918</v>
      </c>
      <c r="P67" t="s">
        <v>918</v>
      </c>
      <c r="Q67" t="s">
        <v>918</v>
      </c>
      <c r="R67" t="s">
        <v>918</v>
      </c>
      <c r="S67" t="s">
        <v>918</v>
      </c>
      <c r="T67" t="s">
        <v>918</v>
      </c>
      <c r="U67" t="s">
        <v>918</v>
      </c>
      <c r="V67" t="s">
        <v>918</v>
      </c>
      <c r="W67" t="s">
        <v>918</v>
      </c>
      <c r="X67" t="s">
        <v>918</v>
      </c>
      <c r="Y67" t="s">
        <v>918</v>
      </c>
      <c r="Z67" t="s">
        <v>918</v>
      </c>
      <c r="AA67" t="s">
        <v>918</v>
      </c>
      <c r="AB67" t="s">
        <v>918</v>
      </c>
    </row>
    <row r="68" spans="1:28">
      <c r="A68">
        <v>67</v>
      </c>
      <c r="B68" t="s">
        <v>233</v>
      </c>
      <c r="C68" t="s">
        <v>233</v>
      </c>
      <c r="D68" s="183" t="s">
        <v>1060</v>
      </c>
      <c r="E68" t="s">
        <v>918</v>
      </c>
      <c r="F68" t="s">
        <v>918</v>
      </c>
      <c r="G68" t="s">
        <v>918</v>
      </c>
      <c r="H68" t="s">
        <v>918</v>
      </c>
      <c r="I68" t="s">
        <v>918</v>
      </c>
      <c r="J68" t="s">
        <v>918</v>
      </c>
      <c r="K68" t="s">
        <v>918</v>
      </c>
      <c r="L68" t="s">
        <v>918</v>
      </c>
      <c r="M68" t="s">
        <v>918</v>
      </c>
      <c r="N68" t="s">
        <v>918</v>
      </c>
      <c r="O68" t="s">
        <v>918</v>
      </c>
      <c r="P68" t="s">
        <v>918</v>
      </c>
      <c r="Q68" t="s">
        <v>918</v>
      </c>
      <c r="R68" t="s">
        <v>918</v>
      </c>
      <c r="S68" t="s">
        <v>918</v>
      </c>
      <c r="T68" t="s">
        <v>918</v>
      </c>
      <c r="U68" t="s">
        <v>918</v>
      </c>
      <c r="V68" t="s">
        <v>918</v>
      </c>
      <c r="W68" t="s">
        <v>918</v>
      </c>
      <c r="X68" t="s">
        <v>918</v>
      </c>
      <c r="Y68" t="s">
        <v>918</v>
      </c>
      <c r="Z68" t="s">
        <v>918</v>
      </c>
      <c r="AA68" t="s">
        <v>918</v>
      </c>
      <c r="AB68" t="s">
        <v>918</v>
      </c>
    </row>
    <row r="69" spans="1:28">
      <c r="A69">
        <v>68</v>
      </c>
      <c r="B69" t="s">
        <v>233</v>
      </c>
      <c r="C69" t="s">
        <v>233</v>
      </c>
      <c r="D69" s="183" t="s">
        <v>1075</v>
      </c>
      <c r="E69" t="s">
        <v>918</v>
      </c>
      <c r="F69" t="s">
        <v>918</v>
      </c>
      <c r="G69" t="s">
        <v>918</v>
      </c>
      <c r="H69" t="s">
        <v>918</v>
      </c>
      <c r="I69" t="s">
        <v>918</v>
      </c>
      <c r="J69" t="s">
        <v>918</v>
      </c>
      <c r="K69" t="s">
        <v>918</v>
      </c>
      <c r="L69" t="s">
        <v>918</v>
      </c>
      <c r="M69" t="s">
        <v>918</v>
      </c>
      <c r="N69" t="s">
        <v>918</v>
      </c>
      <c r="O69" t="s">
        <v>918</v>
      </c>
      <c r="P69" t="s">
        <v>918</v>
      </c>
      <c r="Q69" t="s">
        <v>918</v>
      </c>
      <c r="R69" t="s">
        <v>918</v>
      </c>
      <c r="S69" t="s">
        <v>918</v>
      </c>
      <c r="T69" t="s">
        <v>918</v>
      </c>
      <c r="U69" t="s">
        <v>918</v>
      </c>
      <c r="V69" t="s">
        <v>918</v>
      </c>
      <c r="W69" t="s">
        <v>918</v>
      </c>
      <c r="X69" t="s">
        <v>918</v>
      </c>
      <c r="Y69" t="s">
        <v>918</v>
      </c>
      <c r="Z69" t="s">
        <v>918</v>
      </c>
      <c r="AA69" t="s">
        <v>918</v>
      </c>
      <c r="AB69" t="s">
        <v>918</v>
      </c>
    </row>
    <row r="70" spans="1:28">
      <c r="A70">
        <v>69</v>
      </c>
      <c r="B70" t="s">
        <v>233</v>
      </c>
      <c r="C70" t="s">
        <v>233</v>
      </c>
      <c r="D70" s="183" t="s">
        <v>1076</v>
      </c>
      <c r="E70" t="s">
        <v>918</v>
      </c>
      <c r="F70" t="s">
        <v>918</v>
      </c>
      <c r="G70" t="s">
        <v>918</v>
      </c>
      <c r="H70" t="s">
        <v>918</v>
      </c>
      <c r="I70" t="s">
        <v>918</v>
      </c>
      <c r="J70" t="s">
        <v>918</v>
      </c>
      <c r="K70" t="s">
        <v>918</v>
      </c>
      <c r="L70" t="s">
        <v>918</v>
      </c>
      <c r="M70" t="s">
        <v>918</v>
      </c>
      <c r="N70" t="s">
        <v>918</v>
      </c>
      <c r="O70" t="s">
        <v>918</v>
      </c>
      <c r="P70" t="s">
        <v>918</v>
      </c>
      <c r="Q70" t="s">
        <v>918</v>
      </c>
      <c r="R70" t="s">
        <v>918</v>
      </c>
      <c r="S70" t="s">
        <v>918</v>
      </c>
      <c r="T70" t="s">
        <v>918</v>
      </c>
      <c r="U70" t="s">
        <v>918</v>
      </c>
      <c r="V70" t="s">
        <v>918</v>
      </c>
      <c r="W70" t="s">
        <v>918</v>
      </c>
      <c r="X70" t="s">
        <v>918</v>
      </c>
      <c r="Y70" t="s">
        <v>918</v>
      </c>
      <c r="Z70" t="s">
        <v>918</v>
      </c>
      <c r="AA70" t="s">
        <v>918</v>
      </c>
      <c r="AB70" t="s">
        <v>918</v>
      </c>
    </row>
    <row r="71" spans="1:28">
      <c r="A71">
        <v>70</v>
      </c>
      <c r="B71" t="s">
        <v>233</v>
      </c>
      <c r="C71" t="s">
        <v>233</v>
      </c>
      <c r="D71" s="183" t="s">
        <v>67</v>
      </c>
      <c r="E71" t="s">
        <v>918</v>
      </c>
      <c r="F71" t="s">
        <v>918</v>
      </c>
      <c r="G71" t="s">
        <v>918</v>
      </c>
      <c r="H71" t="s">
        <v>918</v>
      </c>
      <c r="I71" t="s">
        <v>918</v>
      </c>
      <c r="J71" t="s">
        <v>918</v>
      </c>
      <c r="K71" t="s">
        <v>918</v>
      </c>
      <c r="L71" t="s">
        <v>918</v>
      </c>
      <c r="M71" t="s">
        <v>918</v>
      </c>
      <c r="N71" t="s">
        <v>918</v>
      </c>
      <c r="O71" t="s">
        <v>918</v>
      </c>
      <c r="P71" t="s">
        <v>918</v>
      </c>
      <c r="Q71" t="s">
        <v>918</v>
      </c>
      <c r="R71" t="s">
        <v>918</v>
      </c>
      <c r="S71" t="s">
        <v>918</v>
      </c>
      <c r="T71" t="s">
        <v>918</v>
      </c>
      <c r="U71" t="s">
        <v>918</v>
      </c>
      <c r="V71" t="s">
        <v>918</v>
      </c>
      <c r="W71" t="s">
        <v>918</v>
      </c>
      <c r="X71" t="s">
        <v>918</v>
      </c>
      <c r="Y71" t="s">
        <v>918</v>
      </c>
      <c r="Z71" t="s">
        <v>918</v>
      </c>
      <c r="AA71" t="s">
        <v>918</v>
      </c>
      <c r="AB71" t="s">
        <v>918</v>
      </c>
    </row>
    <row r="72" spans="1:28">
      <c r="A72">
        <v>71</v>
      </c>
      <c r="B72" t="s">
        <v>233</v>
      </c>
      <c r="C72" t="s">
        <v>233</v>
      </c>
      <c r="D72" s="183" t="s">
        <v>68</v>
      </c>
      <c r="E72" t="s">
        <v>918</v>
      </c>
      <c r="F72" t="s">
        <v>918</v>
      </c>
      <c r="G72" t="s">
        <v>918</v>
      </c>
      <c r="H72" t="s">
        <v>918</v>
      </c>
      <c r="I72" t="s">
        <v>918</v>
      </c>
      <c r="J72" t="s">
        <v>918</v>
      </c>
      <c r="K72" t="s">
        <v>918</v>
      </c>
      <c r="L72" t="s">
        <v>918</v>
      </c>
      <c r="M72" t="s">
        <v>918</v>
      </c>
      <c r="N72" t="s">
        <v>918</v>
      </c>
      <c r="O72" t="s">
        <v>918</v>
      </c>
      <c r="P72" t="s">
        <v>918</v>
      </c>
      <c r="Q72" t="s">
        <v>918</v>
      </c>
      <c r="R72" t="s">
        <v>918</v>
      </c>
      <c r="S72" t="s">
        <v>918</v>
      </c>
      <c r="T72" t="s">
        <v>918</v>
      </c>
      <c r="U72" t="s">
        <v>918</v>
      </c>
      <c r="V72" t="s">
        <v>918</v>
      </c>
      <c r="W72" t="s">
        <v>918</v>
      </c>
      <c r="X72" t="s">
        <v>918</v>
      </c>
      <c r="Y72" t="s">
        <v>918</v>
      </c>
      <c r="Z72" t="s">
        <v>918</v>
      </c>
      <c r="AA72" t="s">
        <v>918</v>
      </c>
      <c r="AB72" t="s">
        <v>918</v>
      </c>
    </row>
    <row r="73" spans="1:28">
      <c r="A73">
        <v>72</v>
      </c>
      <c r="B73" t="s">
        <v>233</v>
      </c>
      <c r="C73" t="s">
        <v>233</v>
      </c>
      <c r="D73" s="188" t="s">
        <v>1064</v>
      </c>
      <c r="E73" t="s">
        <v>918</v>
      </c>
      <c r="F73" t="s">
        <v>918</v>
      </c>
      <c r="G73" t="s">
        <v>918</v>
      </c>
      <c r="H73" t="s">
        <v>918</v>
      </c>
      <c r="I73" t="s">
        <v>918</v>
      </c>
      <c r="J73" t="s">
        <v>918</v>
      </c>
      <c r="K73" t="s">
        <v>918</v>
      </c>
      <c r="L73" t="s">
        <v>918</v>
      </c>
      <c r="M73" t="s">
        <v>918</v>
      </c>
      <c r="N73" t="s">
        <v>918</v>
      </c>
      <c r="O73" t="s">
        <v>918</v>
      </c>
      <c r="P73" t="s">
        <v>918</v>
      </c>
      <c r="Q73" t="s">
        <v>918</v>
      </c>
      <c r="R73" t="s">
        <v>918</v>
      </c>
      <c r="S73" t="s">
        <v>918</v>
      </c>
      <c r="T73" t="s">
        <v>918</v>
      </c>
      <c r="U73" t="s">
        <v>918</v>
      </c>
      <c r="V73" t="s">
        <v>918</v>
      </c>
      <c r="W73" t="s">
        <v>918</v>
      </c>
      <c r="X73" t="s">
        <v>918</v>
      </c>
      <c r="Y73" t="s">
        <v>918</v>
      </c>
      <c r="Z73" t="s">
        <v>918</v>
      </c>
      <c r="AA73" t="s">
        <v>918</v>
      </c>
      <c r="AB73" t="s">
        <v>918</v>
      </c>
    </row>
    <row r="74" spans="1:28">
      <c r="A74">
        <v>73</v>
      </c>
      <c r="B74" t="s">
        <v>233</v>
      </c>
      <c r="C74" t="s">
        <v>233</v>
      </c>
      <c r="D74" s="183" t="s">
        <v>233</v>
      </c>
      <c r="E74" t="s">
        <v>918</v>
      </c>
      <c r="F74" t="s">
        <v>918</v>
      </c>
      <c r="G74" t="s">
        <v>918</v>
      </c>
      <c r="H74" t="s">
        <v>918</v>
      </c>
      <c r="I74" t="s">
        <v>918</v>
      </c>
      <c r="J74" t="s">
        <v>918</v>
      </c>
      <c r="K74" t="s">
        <v>918</v>
      </c>
      <c r="L74" t="s">
        <v>918</v>
      </c>
      <c r="M74" t="s">
        <v>918</v>
      </c>
      <c r="N74" t="s">
        <v>918</v>
      </c>
      <c r="O74" t="s">
        <v>918</v>
      </c>
      <c r="P74" t="s">
        <v>918</v>
      </c>
      <c r="Q74" t="s">
        <v>918</v>
      </c>
      <c r="R74" t="s">
        <v>918</v>
      </c>
      <c r="S74" t="s">
        <v>918</v>
      </c>
      <c r="T74" t="s">
        <v>918</v>
      </c>
      <c r="U74" t="s">
        <v>918</v>
      </c>
      <c r="V74" t="s">
        <v>918</v>
      </c>
      <c r="W74" t="s">
        <v>918</v>
      </c>
      <c r="X74" t="s">
        <v>918</v>
      </c>
      <c r="Y74" t="s">
        <v>918</v>
      </c>
      <c r="Z74" t="s">
        <v>918</v>
      </c>
      <c r="AA74" t="s">
        <v>918</v>
      </c>
      <c r="AB74" t="s">
        <v>918</v>
      </c>
    </row>
    <row r="75" spans="1:28">
      <c r="A75">
        <v>74</v>
      </c>
      <c r="B75" t="s">
        <v>36</v>
      </c>
      <c r="C75" t="s">
        <v>36</v>
      </c>
      <c r="D75" s="183" t="s">
        <v>66</v>
      </c>
      <c r="E75" t="s">
        <v>919</v>
      </c>
      <c r="F75" t="s">
        <v>919</v>
      </c>
      <c r="G75" t="s">
        <v>919</v>
      </c>
      <c r="H75" t="s">
        <v>919</v>
      </c>
      <c r="I75" t="s">
        <v>919</v>
      </c>
      <c r="J75" t="s">
        <v>919</v>
      </c>
      <c r="K75" t="s">
        <v>919</v>
      </c>
      <c r="L75" t="s">
        <v>919</v>
      </c>
      <c r="M75" t="s">
        <v>919</v>
      </c>
      <c r="N75" t="s">
        <v>919</v>
      </c>
      <c r="O75" t="s">
        <v>919</v>
      </c>
      <c r="P75" t="s">
        <v>919</v>
      </c>
      <c r="Q75" t="s">
        <v>919</v>
      </c>
      <c r="R75" t="s">
        <v>919</v>
      </c>
      <c r="S75" t="s">
        <v>919</v>
      </c>
      <c r="T75" t="s">
        <v>919</v>
      </c>
      <c r="U75" t="s">
        <v>919</v>
      </c>
      <c r="V75" t="s">
        <v>919</v>
      </c>
      <c r="W75" t="s">
        <v>919</v>
      </c>
      <c r="X75" t="s">
        <v>919</v>
      </c>
      <c r="Y75" t="s">
        <v>919</v>
      </c>
      <c r="Z75" t="s">
        <v>919</v>
      </c>
      <c r="AA75" t="s">
        <v>919</v>
      </c>
      <c r="AB75" t="s">
        <v>919</v>
      </c>
    </row>
    <row r="76" spans="1:28">
      <c r="A76">
        <v>75</v>
      </c>
      <c r="B76" t="s">
        <v>36</v>
      </c>
      <c r="C76" t="s">
        <v>36</v>
      </c>
      <c r="D76" s="183" t="s">
        <v>1060</v>
      </c>
      <c r="E76" t="s">
        <v>919</v>
      </c>
      <c r="F76" t="s">
        <v>919</v>
      </c>
      <c r="G76" t="s">
        <v>919</v>
      </c>
      <c r="H76" t="s">
        <v>919</v>
      </c>
      <c r="I76" t="s">
        <v>919</v>
      </c>
      <c r="J76" t="s">
        <v>919</v>
      </c>
      <c r="K76" t="s">
        <v>919</v>
      </c>
      <c r="L76" t="s">
        <v>919</v>
      </c>
      <c r="M76" t="s">
        <v>919</v>
      </c>
      <c r="N76" t="s">
        <v>919</v>
      </c>
      <c r="O76" t="s">
        <v>919</v>
      </c>
      <c r="P76" t="s">
        <v>919</v>
      </c>
      <c r="Q76" t="s">
        <v>919</v>
      </c>
      <c r="R76" t="s">
        <v>919</v>
      </c>
      <c r="S76" t="s">
        <v>919</v>
      </c>
      <c r="T76" t="s">
        <v>919</v>
      </c>
      <c r="U76" t="s">
        <v>919</v>
      </c>
      <c r="V76" t="s">
        <v>919</v>
      </c>
      <c r="W76" t="s">
        <v>919</v>
      </c>
      <c r="X76" t="s">
        <v>919</v>
      </c>
      <c r="Y76" t="s">
        <v>919</v>
      </c>
      <c r="Z76" t="s">
        <v>919</v>
      </c>
      <c r="AA76" t="s">
        <v>919</v>
      </c>
      <c r="AB76" t="s">
        <v>919</v>
      </c>
    </row>
    <row r="77" spans="1:28">
      <c r="A77">
        <v>76</v>
      </c>
      <c r="B77" t="s">
        <v>36</v>
      </c>
      <c r="C77" t="s">
        <v>36</v>
      </c>
      <c r="D77" s="183" t="s">
        <v>1077</v>
      </c>
      <c r="E77" t="s">
        <v>919</v>
      </c>
      <c r="F77" t="s">
        <v>919</v>
      </c>
      <c r="G77" t="s">
        <v>919</v>
      </c>
      <c r="H77" t="s">
        <v>919</v>
      </c>
      <c r="I77" t="s">
        <v>919</v>
      </c>
      <c r="J77" t="s">
        <v>919</v>
      </c>
      <c r="K77" t="s">
        <v>919</v>
      </c>
      <c r="L77" t="s">
        <v>919</v>
      </c>
      <c r="M77" t="s">
        <v>919</v>
      </c>
      <c r="N77" t="s">
        <v>919</v>
      </c>
      <c r="O77" t="s">
        <v>919</v>
      </c>
      <c r="P77" t="s">
        <v>919</v>
      </c>
      <c r="Q77" t="s">
        <v>919</v>
      </c>
      <c r="R77" t="s">
        <v>919</v>
      </c>
      <c r="S77" t="s">
        <v>919</v>
      </c>
      <c r="T77" t="s">
        <v>919</v>
      </c>
      <c r="U77" t="s">
        <v>919</v>
      </c>
      <c r="V77" t="s">
        <v>919</v>
      </c>
      <c r="W77" t="s">
        <v>919</v>
      </c>
      <c r="X77" t="s">
        <v>919</v>
      </c>
      <c r="Y77" t="s">
        <v>919</v>
      </c>
      <c r="Z77" t="s">
        <v>919</v>
      </c>
      <c r="AA77" t="s">
        <v>919</v>
      </c>
      <c r="AB77" t="s">
        <v>919</v>
      </c>
    </row>
    <row r="78" spans="1:28">
      <c r="A78">
        <v>77</v>
      </c>
      <c r="B78" t="s">
        <v>36</v>
      </c>
      <c r="C78" t="s">
        <v>36</v>
      </c>
      <c r="D78" s="183" t="s">
        <v>1078</v>
      </c>
      <c r="E78" t="s">
        <v>919</v>
      </c>
      <c r="F78" t="s">
        <v>919</v>
      </c>
      <c r="G78" t="s">
        <v>919</v>
      </c>
      <c r="H78" t="s">
        <v>919</v>
      </c>
      <c r="I78" t="s">
        <v>919</v>
      </c>
      <c r="J78" t="s">
        <v>919</v>
      </c>
      <c r="K78" t="s">
        <v>919</v>
      </c>
      <c r="L78" t="s">
        <v>919</v>
      </c>
      <c r="M78" t="s">
        <v>919</v>
      </c>
      <c r="N78" t="s">
        <v>919</v>
      </c>
      <c r="O78" t="s">
        <v>919</v>
      </c>
      <c r="P78" t="s">
        <v>919</v>
      </c>
      <c r="Q78" t="s">
        <v>919</v>
      </c>
      <c r="R78" t="s">
        <v>919</v>
      </c>
      <c r="S78" t="s">
        <v>919</v>
      </c>
      <c r="T78" t="s">
        <v>919</v>
      </c>
      <c r="U78" t="s">
        <v>919</v>
      </c>
      <c r="V78" t="s">
        <v>919</v>
      </c>
      <c r="W78" t="s">
        <v>919</v>
      </c>
      <c r="X78" t="s">
        <v>919</v>
      </c>
      <c r="Y78" t="s">
        <v>919</v>
      </c>
      <c r="Z78" t="s">
        <v>919</v>
      </c>
      <c r="AA78" t="s">
        <v>919</v>
      </c>
      <c r="AB78" t="s">
        <v>919</v>
      </c>
    </row>
    <row r="79" spans="1:28">
      <c r="A79">
        <v>78</v>
      </c>
      <c r="B79" t="s">
        <v>36</v>
      </c>
      <c r="C79" t="s">
        <v>36</v>
      </c>
      <c r="D79" s="183" t="s">
        <v>67</v>
      </c>
      <c r="E79" t="s">
        <v>919</v>
      </c>
      <c r="F79" t="s">
        <v>919</v>
      </c>
      <c r="G79" t="s">
        <v>919</v>
      </c>
      <c r="H79" t="s">
        <v>919</v>
      </c>
      <c r="I79" t="s">
        <v>919</v>
      </c>
      <c r="J79" t="s">
        <v>919</v>
      </c>
      <c r="K79" t="s">
        <v>919</v>
      </c>
      <c r="L79" t="s">
        <v>919</v>
      </c>
      <c r="M79" t="s">
        <v>919</v>
      </c>
      <c r="N79" t="s">
        <v>919</v>
      </c>
      <c r="O79" t="s">
        <v>919</v>
      </c>
      <c r="P79" t="s">
        <v>919</v>
      </c>
      <c r="Q79" t="s">
        <v>919</v>
      </c>
      <c r="R79" t="s">
        <v>919</v>
      </c>
      <c r="S79" t="s">
        <v>919</v>
      </c>
      <c r="T79" t="s">
        <v>919</v>
      </c>
      <c r="U79" t="s">
        <v>919</v>
      </c>
      <c r="V79" t="s">
        <v>919</v>
      </c>
      <c r="W79" t="s">
        <v>919</v>
      </c>
      <c r="X79" t="s">
        <v>919</v>
      </c>
      <c r="Y79" t="s">
        <v>919</v>
      </c>
      <c r="Z79" t="s">
        <v>919</v>
      </c>
      <c r="AA79" t="s">
        <v>919</v>
      </c>
      <c r="AB79" t="s">
        <v>919</v>
      </c>
    </row>
    <row r="80" spans="1:28">
      <c r="A80">
        <v>79</v>
      </c>
      <c r="B80" t="s">
        <v>36</v>
      </c>
      <c r="C80" t="s">
        <v>36</v>
      </c>
      <c r="D80" s="183" t="s">
        <v>68</v>
      </c>
      <c r="E80" t="s">
        <v>919</v>
      </c>
      <c r="F80" t="s">
        <v>919</v>
      </c>
      <c r="G80" t="s">
        <v>919</v>
      </c>
      <c r="H80" t="s">
        <v>919</v>
      </c>
      <c r="I80" t="s">
        <v>919</v>
      </c>
      <c r="J80" t="s">
        <v>919</v>
      </c>
      <c r="K80" t="s">
        <v>919</v>
      </c>
      <c r="L80" t="s">
        <v>919</v>
      </c>
      <c r="M80" t="s">
        <v>919</v>
      </c>
      <c r="N80" t="s">
        <v>919</v>
      </c>
      <c r="O80" t="s">
        <v>919</v>
      </c>
      <c r="P80" t="s">
        <v>919</v>
      </c>
      <c r="Q80" t="s">
        <v>919</v>
      </c>
      <c r="R80" t="s">
        <v>919</v>
      </c>
      <c r="S80" t="s">
        <v>919</v>
      </c>
      <c r="T80" t="s">
        <v>919</v>
      </c>
      <c r="U80" t="s">
        <v>919</v>
      </c>
      <c r="V80" t="s">
        <v>919</v>
      </c>
      <c r="W80" t="s">
        <v>919</v>
      </c>
      <c r="X80" t="s">
        <v>919</v>
      </c>
      <c r="Y80" t="s">
        <v>919</v>
      </c>
      <c r="Z80" t="s">
        <v>919</v>
      </c>
      <c r="AA80" t="s">
        <v>919</v>
      </c>
      <c r="AB80" t="s">
        <v>919</v>
      </c>
    </row>
    <row r="81" spans="1:28">
      <c r="A81">
        <v>80</v>
      </c>
      <c r="B81" t="s">
        <v>36</v>
      </c>
      <c r="C81" t="s">
        <v>36</v>
      </c>
      <c r="D81" s="188" t="s">
        <v>1064</v>
      </c>
      <c r="E81" t="s">
        <v>919</v>
      </c>
      <c r="F81" t="s">
        <v>919</v>
      </c>
      <c r="G81" t="s">
        <v>919</v>
      </c>
      <c r="H81" t="s">
        <v>919</v>
      </c>
      <c r="I81" t="s">
        <v>919</v>
      </c>
      <c r="J81" t="s">
        <v>919</v>
      </c>
      <c r="K81" t="s">
        <v>919</v>
      </c>
      <c r="L81" t="s">
        <v>919</v>
      </c>
      <c r="M81" t="s">
        <v>919</v>
      </c>
      <c r="N81" t="s">
        <v>919</v>
      </c>
      <c r="O81" t="s">
        <v>919</v>
      </c>
      <c r="P81" t="s">
        <v>919</v>
      </c>
      <c r="Q81" t="s">
        <v>919</v>
      </c>
      <c r="R81" t="s">
        <v>919</v>
      </c>
      <c r="S81" t="s">
        <v>919</v>
      </c>
      <c r="T81" t="s">
        <v>919</v>
      </c>
      <c r="U81" t="s">
        <v>919</v>
      </c>
      <c r="V81" t="s">
        <v>919</v>
      </c>
      <c r="W81" t="s">
        <v>919</v>
      </c>
      <c r="X81" t="s">
        <v>919</v>
      </c>
      <c r="Y81" t="s">
        <v>919</v>
      </c>
      <c r="Z81" t="s">
        <v>919</v>
      </c>
      <c r="AA81" t="s">
        <v>919</v>
      </c>
      <c r="AB81" t="s">
        <v>919</v>
      </c>
    </row>
    <row r="82" spans="1:28">
      <c r="A82">
        <v>81</v>
      </c>
      <c r="B82" t="s">
        <v>36</v>
      </c>
      <c r="C82" t="s">
        <v>36</v>
      </c>
      <c r="D82" s="183" t="s">
        <v>233</v>
      </c>
      <c r="E82" t="s">
        <v>919</v>
      </c>
      <c r="F82" t="s">
        <v>919</v>
      </c>
      <c r="G82" t="s">
        <v>919</v>
      </c>
      <c r="H82" t="s">
        <v>919</v>
      </c>
      <c r="I82" t="s">
        <v>919</v>
      </c>
      <c r="J82" t="s">
        <v>919</v>
      </c>
      <c r="K82" t="s">
        <v>919</v>
      </c>
      <c r="L82" t="s">
        <v>919</v>
      </c>
      <c r="M82" t="s">
        <v>919</v>
      </c>
      <c r="N82" t="s">
        <v>919</v>
      </c>
      <c r="O82" t="s">
        <v>919</v>
      </c>
      <c r="P82" t="s">
        <v>919</v>
      </c>
      <c r="Q82" t="s">
        <v>919</v>
      </c>
      <c r="R82" t="s">
        <v>919</v>
      </c>
      <c r="S82" t="s">
        <v>919</v>
      </c>
      <c r="T82" t="s">
        <v>919</v>
      </c>
      <c r="U82" t="s">
        <v>919</v>
      </c>
      <c r="V82" t="s">
        <v>919</v>
      </c>
      <c r="W82" t="s">
        <v>919</v>
      </c>
      <c r="X82" t="s">
        <v>919</v>
      </c>
      <c r="Y82" t="s">
        <v>919</v>
      </c>
      <c r="Z82" t="s">
        <v>919</v>
      </c>
      <c r="AA82" t="s">
        <v>919</v>
      </c>
      <c r="AB82" t="s">
        <v>919</v>
      </c>
    </row>
    <row r="83" spans="1:28">
      <c r="A83">
        <v>82</v>
      </c>
      <c r="B83" t="s">
        <v>34</v>
      </c>
      <c r="C83" t="s">
        <v>886</v>
      </c>
      <c r="D83" s="183" t="s">
        <v>66</v>
      </c>
      <c r="E83" t="s">
        <v>919</v>
      </c>
      <c r="F83" t="s">
        <v>919</v>
      </c>
      <c r="G83" t="s">
        <v>919</v>
      </c>
      <c r="H83" t="s">
        <v>919</v>
      </c>
      <c r="I83" t="s">
        <v>919</v>
      </c>
      <c r="J83" t="s">
        <v>919</v>
      </c>
      <c r="K83" t="s">
        <v>919</v>
      </c>
      <c r="L83" t="s">
        <v>919</v>
      </c>
      <c r="M83" t="s">
        <v>919</v>
      </c>
      <c r="N83" t="s">
        <v>919</v>
      </c>
      <c r="O83" t="s">
        <v>919</v>
      </c>
      <c r="P83" t="s">
        <v>919</v>
      </c>
      <c r="Q83" t="s">
        <v>919</v>
      </c>
      <c r="R83" t="s">
        <v>919</v>
      </c>
      <c r="S83" t="s">
        <v>919</v>
      </c>
      <c r="T83" t="s">
        <v>919</v>
      </c>
      <c r="U83" t="s">
        <v>919</v>
      </c>
      <c r="V83" t="s">
        <v>919</v>
      </c>
      <c r="W83" t="s">
        <v>919</v>
      </c>
      <c r="X83" t="s">
        <v>919</v>
      </c>
      <c r="Y83" t="s">
        <v>919</v>
      </c>
      <c r="Z83" t="s">
        <v>919</v>
      </c>
      <c r="AA83" t="s">
        <v>919</v>
      </c>
      <c r="AB83" t="s">
        <v>919</v>
      </c>
    </row>
    <row r="84" spans="1:28">
      <c r="A84">
        <v>83</v>
      </c>
      <c r="B84" t="s">
        <v>34</v>
      </c>
      <c r="C84" t="s">
        <v>886</v>
      </c>
      <c r="D84" s="183" t="s">
        <v>1060</v>
      </c>
      <c r="E84" t="s">
        <v>919</v>
      </c>
      <c r="F84" t="s">
        <v>919</v>
      </c>
      <c r="G84" t="s">
        <v>919</v>
      </c>
      <c r="H84" t="s">
        <v>919</v>
      </c>
      <c r="I84" t="s">
        <v>919</v>
      </c>
      <c r="J84" t="s">
        <v>919</v>
      </c>
      <c r="K84" t="s">
        <v>919</v>
      </c>
      <c r="L84" t="s">
        <v>919</v>
      </c>
      <c r="M84" t="s">
        <v>919</v>
      </c>
      <c r="N84" t="s">
        <v>919</v>
      </c>
      <c r="O84" t="s">
        <v>919</v>
      </c>
      <c r="P84" t="s">
        <v>919</v>
      </c>
      <c r="Q84" t="s">
        <v>919</v>
      </c>
      <c r="R84" t="s">
        <v>919</v>
      </c>
      <c r="S84" t="s">
        <v>919</v>
      </c>
      <c r="T84" t="s">
        <v>919</v>
      </c>
      <c r="U84" t="s">
        <v>919</v>
      </c>
      <c r="V84" t="s">
        <v>919</v>
      </c>
      <c r="W84" t="s">
        <v>919</v>
      </c>
      <c r="X84" t="s">
        <v>919</v>
      </c>
      <c r="Y84" t="s">
        <v>919</v>
      </c>
      <c r="Z84" t="s">
        <v>919</v>
      </c>
      <c r="AA84" t="s">
        <v>919</v>
      </c>
      <c r="AB84" t="s">
        <v>919</v>
      </c>
    </row>
    <row r="85" spans="1:28">
      <c r="A85">
        <v>84</v>
      </c>
      <c r="B85" t="s">
        <v>34</v>
      </c>
      <c r="C85" t="s">
        <v>886</v>
      </c>
      <c r="D85" s="183" t="s">
        <v>1079</v>
      </c>
      <c r="E85" t="s">
        <v>919</v>
      </c>
      <c r="F85" t="s">
        <v>919</v>
      </c>
      <c r="G85" t="s">
        <v>919</v>
      </c>
      <c r="H85" t="s">
        <v>919</v>
      </c>
      <c r="I85" t="s">
        <v>919</v>
      </c>
      <c r="J85" t="s">
        <v>919</v>
      </c>
      <c r="K85" t="s">
        <v>919</v>
      </c>
      <c r="L85" t="s">
        <v>919</v>
      </c>
      <c r="M85" t="s">
        <v>919</v>
      </c>
      <c r="N85" t="s">
        <v>919</v>
      </c>
      <c r="O85" t="s">
        <v>919</v>
      </c>
      <c r="P85" t="s">
        <v>919</v>
      </c>
      <c r="Q85" t="s">
        <v>919</v>
      </c>
      <c r="R85" t="s">
        <v>919</v>
      </c>
      <c r="S85" t="s">
        <v>919</v>
      </c>
      <c r="T85" t="s">
        <v>919</v>
      </c>
      <c r="U85" t="s">
        <v>919</v>
      </c>
      <c r="V85" t="s">
        <v>919</v>
      </c>
      <c r="W85" t="s">
        <v>919</v>
      </c>
      <c r="X85" t="s">
        <v>919</v>
      </c>
      <c r="Y85" t="s">
        <v>919</v>
      </c>
      <c r="Z85" t="s">
        <v>919</v>
      </c>
      <c r="AA85" t="s">
        <v>919</v>
      </c>
      <c r="AB85" t="s">
        <v>919</v>
      </c>
    </row>
    <row r="86" spans="1:28">
      <c r="A86">
        <v>85</v>
      </c>
      <c r="B86" t="s">
        <v>34</v>
      </c>
      <c r="C86" t="s">
        <v>886</v>
      </c>
      <c r="D86" s="183" t="s">
        <v>1080</v>
      </c>
      <c r="E86" t="s">
        <v>919</v>
      </c>
      <c r="F86" t="s">
        <v>919</v>
      </c>
      <c r="G86" t="s">
        <v>919</v>
      </c>
      <c r="H86" t="s">
        <v>919</v>
      </c>
      <c r="I86" t="s">
        <v>919</v>
      </c>
      <c r="J86" t="s">
        <v>919</v>
      </c>
      <c r="K86" t="s">
        <v>919</v>
      </c>
      <c r="L86" t="s">
        <v>919</v>
      </c>
      <c r="M86" t="s">
        <v>919</v>
      </c>
      <c r="N86" t="s">
        <v>919</v>
      </c>
      <c r="O86" t="s">
        <v>919</v>
      </c>
      <c r="P86" t="s">
        <v>919</v>
      </c>
      <c r="Q86" t="s">
        <v>919</v>
      </c>
      <c r="R86" t="s">
        <v>919</v>
      </c>
      <c r="S86" t="s">
        <v>919</v>
      </c>
      <c r="T86" t="s">
        <v>919</v>
      </c>
      <c r="U86" t="s">
        <v>919</v>
      </c>
      <c r="V86" t="s">
        <v>919</v>
      </c>
      <c r="W86" t="s">
        <v>919</v>
      </c>
      <c r="X86" t="s">
        <v>919</v>
      </c>
      <c r="Y86" t="s">
        <v>919</v>
      </c>
      <c r="Z86" t="s">
        <v>919</v>
      </c>
      <c r="AA86" t="s">
        <v>919</v>
      </c>
      <c r="AB86" t="s">
        <v>919</v>
      </c>
    </row>
    <row r="87" spans="1:28">
      <c r="A87">
        <v>86</v>
      </c>
      <c r="B87" t="s">
        <v>34</v>
      </c>
      <c r="C87" t="s">
        <v>886</v>
      </c>
      <c r="D87" s="183" t="s">
        <v>67</v>
      </c>
      <c r="E87" t="s">
        <v>919</v>
      </c>
      <c r="F87" t="s">
        <v>919</v>
      </c>
      <c r="G87" t="s">
        <v>919</v>
      </c>
      <c r="H87" t="s">
        <v>919</v>
      </c>
      <c r="I87" t="s">
        <v>919</v>
      </c>
      <c r="J87" t="s">
        <v>919</v>
      </c>
      <c r="K87" t="s">
        <v>919</v>
      </c>
      <c r="L87" t="s">
        <v>919</v>
      </c>
      <c r="M87" t="s">
        <v>919</v>
      </c>
      <c r="N87" t="s">
        <v>919</v>
      </c>
      <c r="O87" t="s">
        <v>919</v>
      </c>
      <c r="P87" t="s">
        <v>919</v>
      </c>
      <c r="Q87" t="s">
        <v>919</v>
      </c>
      <c r="R87" t="s">
        <v>919</v>
      </c>
      <c r="S87" t="s">
        <v>919</v>
      </c>
      <c r="T87" t="s">
        <v>919</v>
      </c>
      <c r="U87" t="s">
        <v>919</v>
      </c>
      <c r="V87" t="s">
        <v>919</v>
      </c>
      <c r="W87" t="s">
        <v>919</v>
      </c>
      <c r="X87" t="s">
        <v>919</v>
      </c>
      <c r="Y87" t="s">
        <v>919</v>
      </c>
      <c r="Z87" t="s">
        <v>919</v>
      </c>
      <c r="AA87" t="s">
        <v>919</v>
      </c>
      <c r="AB87" t="s">
        <v>919</v>
      </c>
    </row>
    <row r="88" spans="1:28">
      <c r="A88">
        <v>87</v>
      </c>
      <c r="B88" t="s">
        <v>34</v>
      </c>
      <c r="C88" t="s">
        <v>886</v>
      </c>
      <c r="D88" s="183" t="s">
        <v>68</v>
      </c>
      <c r="E88" t="s">
        <v>919</v>
      </c>
      <c r="F88" t="s">
        <v>919</v>
      </c>
      <c r="G88" t="s">
        <v>919</v>
      </c>
      <c r="H88" t="s">
        <v>919</v>
      </c>
      <c r="I88" t="s">
        <v>919</v>
      </c>
      <c r="J88" t="s">
        <v>919</v>
      </c>
      <c r="K88" t="s">
        <v>919</v>
      </c>
      <c r="L88" t="s">
        <v>919</v>
      </c>
      <c r="M88" t="s">
        <v>919</v>
      </c>
      <c r="N88" t="s">
        <v>919</v>
      </c>
      <c r="O88" t="s">
        <v>919</v>
      </c>
      <c r="P88" t="s">
        <v>919</v>
      </c>
      <c r="Q88" t="s">
        <v>919</v>
      </c>
      <c r="R88" t="s">
        <v>919</v>
      </c>
      <c r="S88" t="s">
        <v>919</v>
      </c>
      <c r="T88" t="s">
        <v>919</v>
      </c>
      <c r="U88" t="s">
        <v>919</v>
      </c>
      <c r="V88" t="s">
        <v>919</v>
      </c>
      <c r="W88" t="s">
        <v>919</v>
      </c>
      <c r="X88" t="s">
        <v>919</v>
      </c>
      <c r="Y88" t="s">
        <v>919</v>
      </c>
      <c r="Z88" t="s">
        <v>919</v>
      </c>
      <c r="AA88" t="s">
        <v>919</v>
      </c>
      <c r="AB88" t="s">
        <v>919</v>
      </c>
    </row>
    <row r="89" spans="1:28">
      <c r="A89">
        <v>88</v>
      </c>
      <c r="B89" t="s">
        <v>34</v>
      </c>
      <c r="C89" t="s">
        <v>886</v>
      </c>
      <c r="D89" s="188" t="s">
        <v>1064</v>
      </c>
      <c r="E89" t="s">
        <v>919</v>
      </c>
      <c r="F89" t="s">
        <v>919</v>
      </c>
      <c r="G89" t="s">
        <v>919</v>
      </c>
      <c r="H89" t="s">
        <v>919</v>
      </c>
      <c r="I89" t="s">
        <v>919</v>
      </c>
      <c r="J89" t="s">
        <v>919</v>
      </c>
      <c r="K89" t="s">
        <v>919</v>
      </c>
      <c r="L89" t="s">
        <v>919</v>
      </c>
      <c r="M89" t="s">
        <v>919</v>
      </c>
      <c r="N89" t="s">
        <v>919</v>
      </c>
      <c r="O89" t="s">
        <v>919</v>
      </c>
      <c r="P89" t="s">
        <v>919</v>
      </c>
      <c r="Q89" t="s">
        <v>919</v>
      </c>
      <c r="R89" t="s">
        <v>919</v>
      </c>
      <c r="S89" t="s">
        <v>919</v>
      </c>
      <c r="T89" t="s">
        <v>919</v>
      </c>
      <c r="U89" t="s">
        <v>919</v>
      </c>
      <c r="V89" t="s">
        <v>919</v>
      </c>
      <c r="W89" t="s">
        <v>919</v>
      </c>
      <c r="X89" t="s">
        <v>919</v>
      </c>
      <c r="Y89" t="s">
        <v>919</v>
      </c>
      <c r="Z89" t="s">
        <v>919</v>
      </c>
      <c r="AA89" t="s">
        <v>919</v>
      </c>
      <c r="AB89" t="s">
        <v>919</v>
      </c>
    </row>
    <row r="90" spans="1:28">
      <c r="A90">
        <v>89</v>
      </c>
      <c r="B90" t="s">
        <v>34</v>
      </c>
      <c r="C90" t="s">
        <v>886</v>
      </c>
      <c r="D90" s="183" t="s">
        <v>233</v>
      </c>
      <c r="E90" t="s">
        <v>919</v>
      </c>
      <c r="F90" t="s">
        <v>919</v>
      </c>
      <c r="G90" t="s">
        <v>919</v>
      </c>
      <c r="H90" t="s">
        <v>919</v>
      </c>
      <c r="I90" t="s">
        <v>919</v>
      </c>
      <c r="J90" t="s">
        <v>919</v>
      </c>
      <c r="K90" t="s">
        <v>919</v>
      </c>
      <c r="L90" t="s">
        <v>919</v>
      </c>
      <c r="M90" t="s">
        <v>919</v>
      </c>
      <c r="N90" t="s">
        <v>919</v>
      </c>
      <c r="O90" t="s">
        <v>919</v>
      </c>
      <c r="P90" t="s">
        <v>919</v>
      </c>
      <c r="Q90" t="s">
        <v>919</v>
      </c>
      <c r="R90" t="s">
        <v>919</v>
      </c>
      <c r="S90" t="s">
        <v>919</v>
      </c>
      <c r="T90" t="s">
        <v>919</v>
      </c>
      <c r="U90" t="s">
        <v>919</v>
      </c>
      <c r="V90" t="s">
        <v>919</v>
      </c>
      <c r="W90" t="s">
        <v>919</v>
      </c>
      <c r="X90" t="s">
        <v>919</v>
      </c>
      <c r="Y90" t="s">
        <v>919</v>
      </c>
      <c r="Z90" t="s">
        <v>919</v>
      </c>
      <c r="AA90" t="s">
        <v>919</v>
      </c>
      <c r="AB90" t="s">
        <v>919</v>
      </c>
    </row>
    <row r="91" spans="1:28">
      <c r="A91">
        <v>90</v>
      </c>
      <c r="B91" t="s">
        <v>33</v>
      </c>
      <c r="C91" t="s">
        <v>32</v>
      </c>
      <c r="D91" s="183" t="s">
        <v>66</v>
      </c>
      <c r="E91" t="s">
        <v>919</v>
      </c>
      <c r="F91" t="s">
        <v>919</v>
      </c>
      <c r="G91" t="s">
        <v>919</v>
      </c>
      <c r="H91" t="s">
        <v>919</v>
      </c>
      <c r="I91" t="s">
        <v>919</v>
      </c>
      <c r="J91" t="s">
        <v>919</v>
      </c>
      <c r="K91" t="s">
        <v>919</v>
      </c>
      <c r="L91" t="s">
        <v>919</v>
      </c>
      <c r="M91" t="s">
        <v>919</v>
      </c>
      <c r="N91" t="s">
        <v>919</v>
      </c>
      <c r="O91" t="s">
        <v>919</v>
      </c>
      <c r="P91" t="s">
        <v>919</v>
      </c>
      <c r="Q91" t="s">
        <v>919</v>
      </c>
      <c r="R91" t="s">
        <v>919</v>
      </c>
      <c r="S91" t="s">
        <v>919</v>
      </c>
      <c r="T91" t="s">
        <v>919</v>
      </c>
      <c r="U91" t="s">
        <v>919</v>
      </c>
      <c r="V91" t="s">
        <v>919</v>
      </c>
      <c r="W91" t="s">
        <v>919</v>
      </c>
      <c r="X91" t="s">
        <v>919</v>
      </c>
      <c r="Y91" t="s">
        <v>919</v>
      </c>
      <c r="Z91" t="s">
        <v>919</v>
      </c>
      <c r="AA91" t="s">
        <v>919</v>
      </c>
      <c r="AB91" t="s">
        <v>919</v>
      </c>
    </row>
    <row r="92" spans="1:28">
      <c r="A92">
        <v>91</v>
      </c>
      <c r="B92" t="s">
        <v>33</v>
      </c>
      <c r="C92" t="s">
        <v>32</v>
      </c>
      <c r="D92" s="183" t="s">
        <v>1060</v>
      </c>
      <c r="E92" t="s">
        <v>919</v>
      </c>
      <c r="F92" t="s">
        <v>919</v>
      </c>
      <c r="G92" t="s">
        <v>919</v>
      </c>
      <c r="H92" t="s">
        <v>919</v>
      </c>
      <c r="I92" t="s">
        <v>919</v>
      </c>
      <c r="J92" t="s">
        <v>919</v>
      </c>
      <c r="K92" t="s">
        <v>919</v>
      </c>
      <c r="L92" t="s">
        <v>919</v>
      </c>
      <c r="M92" t="s">
        <v>919</v>
      </c>
      <c r="N92" t="s">
        <v>919</v>
      </c>
      <c r="O92" t="s">
        <v>919</v>
      </c>
      <c r="P92" t="s">
        <v>919</v>
      </c>
      <c r="Q92" t="s">
        <v>919</v>
      </c>
      <c r="R92" t="s">
        <v>919</v>
      </c>
      <c r="S92" t="s">
        <v>919</v>
      </c>
      <c r="T92" t="s">
        <v>919</v>
      </c>
      <c r="U92" t="s">
        <v>919</v>
      </c>
      <c r="V92" t="s">
        <v>919</v>
      </c>
      <c r="W92" t="s">
        <v>919</v>
      </c>
      <c r="X92" t="s">
        <v>919</v>
      </c>
      <c r="Y92" t="s">
        <v>919</v>
      </c>
      <c r="Z92" t="s">
        <v>919</v>
      </c>
      <c r="AA92" t="s">
        <v>919</v>
      </c>
      <c r="AB92" t="s">
        <v>919</v>
      </c>
    </row>
    <row r="93" spans="1:28">
      <c r="A93">
        <v>92</v>
      </c>
      <c r="B93" t="s">
        <v>33</v>
      </c>
      <c r="C93" t="s">
        <v>32</v>
      </c>
      <c r="D93" s="183" t="s">
        <v>1081</v>
      </c>
      <c r="E93" t="s">
        <v>919</v>
      </c>
      <c r="F93" t="s">
        <v>919</v>
      </c>
      <c r="G93" t="s">
        <v>919</v>
      </c>
      <c r="H93" t="s">
        <v>919</v>
      </c>
      <c r="I93" t="s">
        <v>919</v>
      </c>
      <c r="J93" t="s">
        <v>919</v>
      </c>
      <c r="K93" t="s">
        <v>919</v>
      </c>
      <c r="L93" t="s">
        <v>919</v>
      </c>
      <c r="M93" t="s">
        <v>919</v>
      </c>
      <c r="N93" t="s">
        <v>919</v>
      </c>
      <c r="O93" t="s">
        <v>919</v>
      </c>
      <c r="P93" t="s">
        <v>919</v>
      </c>
      <c r="Q93" t="s">
        <v>919</v>
      </c>
      <c r="R93" t="s">
        <v>919</v>
      </c>
      <c r="S93" t="s">
        <v>919</v>
      </c>
      <c r="T93" t="s">
        <v>919</v>
      </c>
      <c r="U93" t="s">
        <v>919</v>
      </c>
      <c r="V93" t="s">
        <v>919</v>
      </c>
      <c r="W93" t="s">
        <v>919</v>
      </c>
      <c r="X93" t="s">
        <v>919</v>
      </c>
      <c r="Y93" t="s">
        <v>919</v>
      </c>
      <c r="Z93" t="s">
        <v>919</v>
      </c>
      <c r="AA93" t="s">
        <v>919</v>
      </c>
      <c r="AB93" t="s">
        <v>919</v>
      </c>
    </row>
    <row r="94" spans="1:28">
      <c r="A94">
        <v>93</v>
      </c>
      <c r="B94" t="s">
        <v>33</v>
      </c>
      <c r="C94" t="s">
        <v>32</v>
      </c>
      <c r="D94" s="183" t="s">
        <v>1082</v>
      </c>
      <c r="E94" t="s">
        <v>919</v>
      </c>
      <c r="F94" t="s">
        <v>919</v>
      </c>
      <c r="G94" t="s">
        <v>919</v>
      </c>
      <c r="H94" t="s">
        <v>919</v>
      </c>
      <c r="I94" t="s">
        <v>919</v>
      </c>
      <c r="J94" t="s">
        <v>919</v>
      </c>
      <c r="K94" t="s">
        <v>919</v>
      </c>
      <c r="L94" t="s">
        <v>919</v>
      </c>
      <c r="M94" t="s">
        <v>919</v>
      </c>
      <c r="N94" t="s">
        <v>919</v>
      </c>
      <c r="O94" t="s">
        <v>919</v>
      </c>
      <c r="P94" t="s">
        <v>919</v>
      </c>
      <c r="Q94" t="s">
        <v>919</v>
      </c>
      <c r="R94" t="s">
        <v>919</v>
      </c>
      <c r="S94" t="s">
        <v>919</v>
      </c>
      <c r="T94" t="s">
        <v>919</v>
      </c>
      <c r="U94" t="s">
        <v>919</v>
      </c>
      <c r="V94" t="s">
        <v>919</v>
      </c>
      <c r="W94" t="s">
        <v>919</v>
      </c>
      <c r="X94" t="s">
        <v>919</v>
      </c>
      <c r="Y94" t="s">
        <v>919</v>
      </c>
      <c r="Z94" t="s">
        <v>919</v>
      </c>
      <c r="AA94" t="s">
        <v>919</v>
      </c>
      <c r="AB94" t="s">
        <v>919</v>
      </c>
    </row>
    <row r="95" spans="1:28">
      <c r="A95">
        <v>94</v>
      </c>
      <c r="B95" t="s">
        <v>33</v>
      </c>
      <c r="C95" t="s">
        <v>32</v>
      </c>
      <c r="D95" s="183" t="s">
        <v>67</v>
      </c>
      <c r="E95" t="s">
        <v>919</v>
      </c>
      <c r="F95" t="s">
        <v>919</v>
      </c>
      <c r="G95" t="s">
        <v>919</v>
      </c>
      <c r="H95" t="s">
        <v>919</v>
      </c>
      <c r="I95" t="s">
        <v>919</v>
      </c>
      <c r="J95" t="s">
        <v>919</v>
      </c>
      <c r="K95" t="s">
        <v>919</v>
      </c>
      <c r="L95" t="s">
        <v>919</v>
      </c>
      <c r="M95" t="s">
        <v>919</v>
      </c>
      <c r="N95" t="s">
        <v>919</v>
      </c>
      <c r="O95" t="s">
        <v>919</v>
      </c>
      <c r="P95" t="s">
        <v>919</v>
      </c>
      <c r="Q95" t="s">
        <v>919</v>
      </c>
      <c r="R95" t="s">
        <v>919</v>
      </c>
      <c r="S95" t="s">
        <v>919</v>
      </c>
      <c r="T95" t="s">
        <v>919</v>
      </c>
      <c r="U95" t="s">
        <v>919</v>
      </c>
      <c r="V95" t="s">
        <v>919</v>
      </c>
      <c r="W95" t="s">
        <v>919</v>
      </c>
      <c r="X95" t="s">
        <v>919</v>
      </c>
      <c r="Y95" t="s">
        <v>919</v>
      </c>
      <c r="Z95" t="s">
        <v>919</v>
      </c>
      <c r="AA95" t="s">
        <v>919</v>
      </c>
      <c r="AB95" t="s">
        <v>919</v>
      </c>
    </row>
    <row r="96" spans="1:28">
      <c r="A96">
        <v>95</v>
      </c>
      <c r="B96" t="s">
        <v>33</v>
      </c>
      <c r="C96" t="s">
        <v>32</v>
      </c>
      <c r="D96" s="183" t="s">
        <v>68</v>
      </c>
      <c r="E96" t="s">
        <v>919</v>
      </c>
      <c r="F96" t="s">
        <v>919</v>
      </c>
      <c r="G96" t="s">
        <v>919</v>
      </c>
      <c r="H96" t="s">
        <v>919</v>
      </c>
      <c r="I96" t="s">
        <v>919</v>
      </c>
      <c r="J96" t="s">
        <v>919</v>
      </c>
      <c r="K96" t="s">
        <v>919</v>
      </c>
      <c r="L96" t="s">
        <v>919</v>
      </c>
      <c r="M96" t="s">
        <v>919</v>
      </c>
      <c r="N96" t="s">
        <v>919</v>
      </c>
      <c r="O96" t="s">
        <v>919</v>
      </c>
      <c r="P96" t="s">
        <v>919</v>
      </c>
      <c r="Q96" t="s">
        <v>919</v>
      </c>
      <c r="R96" t="s">
        <v>919</v>
      </c>
      <c r="S96" t="s">
        <v>919</v>
      </c>
      <c r="T96" t="s">
        <v>919</v>
      </c>
      <c r="U96" t="s">
        <v>919</v>
      </c>
      <c r="V96" t="s">
        <v>919</v>
      </c>
      <c r="W96" t="s">
        <v>919</v>
      </c>
      <c r="X96" t="s">
        <v>919</v>
      </c>
      <c r="Y96" t="s">
        <v>919</v>
      </c>
      <c r="Z96" t="s">
        <v>919</v>
      </c>
      <c r="AA96" t="s">
        <v>919</v>
      </c>
      <c r="AB96" t="s">
        <v>919</v>
      </c>
    </row>
    <row r="97" spans="1:28">
      <c r="A97">
        <v>96</v>
      </c>
      <c r="B97" t="s">
        <v>33</v>
      </c>
      <c r="C97" t="s">
        <v>32</v>
      </c>
      <c r="D97" s="188" t="s">
        <v>1064</v>
      </c>
      <c r="E97" t="s">
        <v>919</v>
      </c>
      <c r="F97" t="s">
        <v>919</v>
      </c>
      <c r="G97" t="s">
        <v>919</v>
      </c>
      <c r="H97" t="s">
        <v>919</v>
      </c>
      <c r="I97" t="s">
        <v>919</v>
      </c>
      <c r="J97" t="s">
        <v>919</v>
      </c>
      <c r="K97" t="s">
        <v>919</v>
      </c>
      <c r="L97" t="s">
        <v>919</v>
      </c>
      <c r="M97" t="s">
        <v>919</v>
      </c>
      <c r="N97" t="s">
        <v>919</v>
      </c>
      <c r="O97" t="s">
        <v>919</v>
      </c>
      <c r="P97" t="s">
        <v>919</v>
      </c>
      <c r="Q97" t="s">
        <v>919</v>
      </c>
      <c r="R97" t="s">
        <v>919</v>
      </c>
      <c r="S97" t="s">
        <v>919</v>
      </c>
      <c r="T97" t="s">
        <v>919</v>
      </c>
      <c r="U97" t="s">
        <v>919</v>
      </c>
      <c r="V97" t="s">
        <v>919</v>
      </c>
      <c r="W97" t="s">
        <v>919</v>
      </c>
      <c r="X97" t="s">
        <v>919</v>
      </c>
      <c r="Y97" t="s">
        <v>919</v>
      </c>
      <c r="Z97" t="s">
        <v>919</v>
      </c>
      <c r="AA97" t="s">
        <v>919</v>
      </c>
      <c r="AB97" t="s">
        <v>919</v>
      </c>
    </row>
    <row r="98" spans="1:28">
      <c r="A98">
        <v>97</v>
      </c>
      <c r="B98" t="s">
        <v>33</v>
      </c>
      <c r="C98" t="s">
        <v>32</v>
      </c>
      <c r="D98" s="183" t="s">
        <v>233</v>
      </c>
      <c r="E98" t="s">
        <v>919</v>
      </c>
      <c r="F98" t="s">
        <v>919</v>
      </c>
      <c r="G98" t="s">
        <v>919</v>
      </c>
      <c r="H98" t="s">
        <v>919</v>
      </c>
      <c r="I98" t="s">
        <v>919</v>
      </c>
      <c r="J98" t="s">
        <v>919</v>
      </c>
      <c r="K98" t="s">
        <v>919</v>
      </c>
      <c r="L98" t="s">
        <v>919</v>
      </c>
      <c r="M98" t="s">
        <v>919</v>
      </c>
      <c r="N98" t="s">
        <v>919</v>
      </c>
      <c r="O98" t="s">
        <v>919</v>
      </c>
      <c r="P98" t="s">
        <v>919</v>
      </c>
      <c r="Q98" t="s">
        <v>919</v>
      </c>
      <c r="R98" t="s">
        <v>919</v>
      </c>
      <c r="S98" t="s">
        <v>919</v>
      </c>
      <c r="T98" t="s">
        <v>919</v>
      </c>
      <c r="U98" t="s">
        <v>919</v>
      </c>
      <c r="V98" t="s">
        <v>919</v>
      </c>
      <c r="W98" t="s">
        <v>919</v>
      </c>
      <c r="X98" t="s">
        <v>919</v>
      </c>
      <c r="Y98" t="s">
        <v>919</v>
      </c>
      <c r="Z98" t="s">
        <v>919</v>
      </c>
      <c r="AA98" t="s">
        <v>919</v>
      </c>
      <c r="AB98" t="s">
        <v>919</v>
      </c>
    </row>
    <row r="99" spans="1:28">
      <c r="A99">
        <v>98</v>
      </c>
      <c r="B99" t="s">
        <v>30</v>
      </c>
      <c r="C99" t="s">
        <v>29</v>
      </c>
      <c r="D99" s="183" t="s">
        <v>66</v>
      </c>
      <c r="E99" t="s">
        <v>919</v>
      </c>
      <c r="F99" t="s">
        <v>919</v>
      </c>
      <c r="G99" t="s">
        <v>919</v>
      </c>
      <c r="H99" t="s">
        <v>919</v>
      </c>
      <c r="I99" t="s">
        <v>919</v>
      </c>
      <c r="J99" t="s">
        <v>919</v>
      </c>
      <c r="K99" t="s">
        <v>919</v>
      </c>
      <c r="L99" t="s">
        <v>919</v>
      </c>
      <c r="M99" t="s">
        <v>919</v>
      </c>
      <c r="N99" t="s">
        <v>919</v>
      </c>
      <c r="O99" t="s">
        <v>919</v>
      </c>
      <c r="P99" t="s">
        <v>919</v>
      </c>
      <c r="Q99" t="s">
        <v>919</v>
      </c>
      <c r="R99" t="s">
        <v>919</v>
      </c>
      <c r="S99" t="s">
        <v>919</v>
      </c>
      <c r="T99" t="s">
        <v>919</v>
      </c>
      <c r="U99" t="s">
        <v>919</v>
      </c>
      <c r="V99" t="s">
        <v>919</v>
      </c>
      <c r="W99" t="s">
        <v>919</v>
      </c>
      <c r="X99" t="s">
        <v>919</v>
      </c>
      <c r="Y99" t="s">
        <v>919</v>
      </c>
      <c r="Z99" t="s">
        <v>919</v>
      </c>
      <c r="AA99" t="s">
        <v>919</v>
      </c>
      <c r="AB99" t="s">
        <v>919</v>
      </c>
    </row>
    <row r="100" spans="1:28">
      <c r="A100">
        <v>99</v>
      </c>
      <c r="B100" t="s">
        <v>30</v>
      </c>
      <c r="C100" t="s">
        <v>29</v>
      </c>
      <c r="D100" s="183" t="s">
        <v>1060</v>
      </c>
      <c r="E100" t="s">
        <v>919</v>
      </c>
      <c r="F100" t="s">
        <v>919</v>
      </c>
      <c r="G100" t="s">
        <v>919</v>
      </c>
      <c r="H100" t="s">
        <v>919</v>
      </c>
      <c r="I100" t="s">
        <v>919</v>
      </c>
      <c r="J100" t="s">
        <v>919</v>
      </c>
      <c r="K100" t="s">
        <v>919</v>
      </c>
      <c r="L100" t="s">
        <v>919</v>
      </c>
      <c r="M100" t="s">
        <v>919</v>
      </c>
      <c r="N100" t="s">
        <v>919</v>
      </c>
      <c r="O100" t="s">
        <v>919</v>
      </c>
      <c r="P100" t="s">
        <v>919</v>
      </c>
      <c r="Q100" t="s">
        <v>919</v>
      </c>
      <c r="R100" t="s">
        <v>919</v>
      </c>
      <c r="S100" t="s">
        <v>919</v>
      </c>
      <c r="T100" t="s">
        <v>919</v>
      </c>
      <c r="U100" t="s">
        <v>919</v>
      </c>
      <c r="V100" t="s">
        <v>919</v>
      </c>
      <c r="W100" t="s">
        <v>919</v>
      </c>
      <c r="X100" t="s">
        <v>919</v>
      </c>
      <c r="Y100" t="s">
        <v>919</v>
      </c>
      <c r="Z100" t="s">
        <v>919</v>
      </c>
      <c r="AA100" t="s">
        <v>919</v>
      </c>
      <c r="AB100" t="s">
        <v>919</v>
      </c>
    </row>
    <row r="101" spans="1:28">
      <c r="A101">
        <v>100</v>
      </c>
      <c r="B101" t="s">
        <v>30</v>
      </c>
      <c r="C101" t="s">
        <v>29</v>
      </c>
      <c r="D101" s="183" t="s">
        <v>1083</v>
      </c>
      <c r="E101" t="s">
        <v>919</v>
      </c>
      <c r="F101" t="s">
        <v>919</v>
      </c>
      <c r="G101" t="s">
        <v>919</v>
      </c>
      <c r="H101" t="s">
        <v>919</v>
      </c>
      <c r="I101" t="s">
        <v>919</v>
      </c>
      <c r="J101" t="s">
        <v>919</v>
      </c>
      <c r="K101" t="s">
        <v>919</v>
      </c>
      <c r="L101" t="s">
        <v>919</v>
      </c>
      <c r="M101" t="s">
        <v>919</v>
      </c>
      <c r="N101" t="s">
        <v>919</v>
      </c>
      <c r="O101" t="s">
        <v>919</v>
      </c>
      <c r="P101" t="s">
        <v>919</v>
      </c>
      <c r="Q101" t="s">
        <v>919</v>
      </c>
      <c r="R101" t="s">
        <v>919</v>
      </c>
      <c r="S101" t="s">
        <v>919</v>
      </c>
      <c r="T101" t="s">
        <v>919</v>
      </c>
      <c r="U101" t="s">
        <v>919</v>
      </c>
      <c r="V101" t="s">
        <v>919</v>
      </c>
      <c r="W101" t="s">
        <v>919</v>
      </c>
      <c r="X101" t="s">
        <v>919</v>
      </c>
      <c r="Y101" t="s">
        <v>919</v>
      </c>
      <c r="Z101" t="s">
        <v>919</v>
      </c>
      <c r="AA101" t="s">
        <v>919</v>
      </c>
      <c r="AB101" t="s">
        <v>919</v>
      </c>
    </row>
    <row r="102" spans="1:28">
      <c r="A102">
        <v>101</v>
      </c>
      <c r="B102" t="s">
        <v>30</v>
      </c>
      <c r="C102" t="s">
        <v>29</v>
      </c>
      <c r="D102" s="183" t="s">
        <v>1084</v>
      </c>
      <c r="E102" t="s">
        <v>919</v>
      </c>
      <c r="F102" t="s">
        <v>919</v>
      </c>
      <c r="G102" t="s">
        <v>919</v>
      </c>
      <c r="H102" t="s">
        <v>919</v>
      </c>
      <c r="I102" t="s">
        <v>919</v>
      </c>
      <c r="J102" t="s">
        <v>919</v>
      </c>
      <c r="K102" t="s">
        <v>919</v>
      </c>
      <c r="L102" t="s">
        <v>919</v>
      </c>
      <c r="M102" t="s">
        <v>919</v>
      </c>
      <c r="N102" t="s">
        <v>919</v>
      </c>
      <c r="O102" t="s">
        <v>919</v>
      </c>
      <c r="P102" t="s">
        <v>919</v>
      </c>
      <c r="Q102" t="s">
        <v>919</v>
      </c>
      <c r="R102" t="s">
        <v>919</v>
      </c>
      <c r="S102" t="s">
        <v>919</v>
      </c>
      <c r="T102" t="s">
        <v>919</v>
      </c>
      <c r="U102" t="s">
        <v>919</v>
      </c>
      <c r="V102" t="s">
        <v>919</v>
      </c>
      <c r="W102" t="s">
        <v>919</v>
      </c>
      <c r="X102" t="s">
        <v>919</v>
      </c>
      <c r="Y102" t="s">
        <v>919</v>
      </c>
      <c r="Z102" t="s">
        <v>919</v>
      </c>
      <c r="AA102" t="s">
        <v>919</v>
      </c>
      <c r="AB102" t="s">
        <v>919</v>
      </c>
    </row>
    <row r="103" spans="1:28">
      <c r="A103">
        <v>102</v>
      </c>
      <c r="B103" t="s">
        <v>30</v>
      </c>
      <c r="C103" t="s">
        <v>29</v>
      </c>
      <c r="D103" s="183" t="s">
        <v>67</v>
      </c>
      <c r="E103" t="s">
        <v>919</v>
      </c>
      <c r="F103" t="s">
        <v>919</v>
      </c>
      <c r="G103" t="s">
        <v>919</v>
      </c>
      <c r="H103" t="s">
        <v>919</v>
      </c>
      <c r="I103" t="s">
        <v>919</v>
      </c>
      <c r="J103" t="s">
        <v>919</v>
      </c>
      <c r="K103" t="s">
        <v>919</v>
      </c>
      <c r="L103" t="s">
        <v>919</v>
      </c>
      <c r="M103" t="s">
        <v>919</v>
      </c>
      <c r="N103" t="s">
        <v>919</v>
      </c>
      <c r="O103" t="s">
        <v>919</v>
      </c>
      <c r="P103" t="s">
        <v>919</v>
      </c>
      <c r="Q103" t="s">
        <v>919</v>
      </c>
      <c r="R103" t="s">
        <v>919</v>
      </c>
      <c r="S103" t="s">
        <v>919</v>
      </c>
      <c r="T103" t="s">
        <v>919</v>
      </c>
      <c r="U103" t="s">
        <v>919</v>
      </c>
      <c r="V103" t="s">
        <v>919</v>
      </c>
      <c r="W103" t="s">
        <v>919</v>
      </c>
      <c r="X103" t="s">
        <v>919</v>
      </c>
      <c r="Y103" t="s">
        <v>919</v>
      </c>
      <c r="Z103" t="s">
        <v>919</v>
      </c>
      <c r="AA103" t="s">
        <v>919</v>
      </c>
      <c r="AB103" t="s">
        <v>919</v>
      </c>
    </row>
    <row r="104" spans="1:28">
      <c r="A104">
        <v>103</v>
      </c>
      <c r="B104" t="s">
        <v>30</v>
      </c>
      <c r="C104" t="s">
        <v>29</v>
      </c>
      <c r="D104" s="183" t="s">
        <v>68</v>
      </c>
      <c r="E104" t="s">
        <v>919</v>
      </c>
      <c r="F104" t="s">
        <v>919</v>
      </c>
      <c r="G104" t="s">
        <v>919</v>
      </c>
      <c r="H104" t="s">
        <v>919</v>
      </c>
      <c r="I104" t="s">
        <v>919</v>
      </c>
      <c r="J104" t="s">
        <v>919</v>
      </c>
      <c r="K104" t="s">
        <v>919</v>
      </c>
      <c r="L104" t="s">
        <v>919</v>
      </c>
      <c r="M104" t="s">
        <v>919</v>
      </c>
      <c r="N104" t="s">
        <v>919</v>
      </c>
      <c r="O104" t="s">
        <v>919</v>
      </c>
      <c r="P104" t="s">
        <v>919</v>
      </c>
      <c r="Q104" t="s">
        <v>919</v>
      </c>
      <c r="R104" t="s">
        <v>919</v>
      </c>
      <c r="S104" t="s">
        <v>919</v>
      </c>
      <c r="T104" t="s">
        <v>919</v>
      </c>
      <c r="U104" t="s">
        <v>919</v>
      </c>
      <c r="V104" t="s">
        <v>919</v>
      </c>
      <c r="W104" t="s">
        <v>919</v>
      </c>
      <c r="X104" t="s">
        <v>919</v>
      </c>
      <c r="Y104" t="s">
        <v>919</v>
      </c>
      <c r="Z104" t="s">
        <v>919</v>
      </c>
      <c r="AA104" t="s">
        <v>919</v>
      </c>
      <c r="AB104" t="s">
        <v>919</v>
      </c>
    </row>
    <row r="105" spans="1:28">
      <c r="A105">
        <v>104</v>
      </c>
      <c r="B105" t="s">
        <v>30</v>
      </c>
      <c r="C105" t="s">
        <v>29</v>
      </c>
      <c r="D105" s="188" t="s">
        <v>1064</v>
      </c>
      <c r="E105" t="s">
        <v>919</v>
      </c>
      <c r="F105" t="s">
        <v>919</v>
      </c>
      <c r="G105" t="s">
        <v>919</v>
      </c>
      <c r="H105" t="s">
        <v>919</v>
      </c>
      <c r="I105" t="s">
        <v>919</v>
      </c>
      <c r="J105" t="s">
        <v>919</v>
      </c>
      <c r="K105" t="s">
        <v>919</v>
      </c>
      <c r="L105" t="s">
        <v>919</v>
      </c>
      <c r="M105" t="s">
        <v>919</v>
      </c>
      <c r="N105" t="s">
        <v>919</v>
      </c>
      <c r="O105" t="s">
        <v>919</v>
      </c>
      <c r="P105" t="s">
        <v>919</v>
      </c>
      <c r="Q105" t="s">
        <v>919</v>
      </c>
      <c r="R105" t="s">
        <v>919</v>
      </c>
      <c r="S105" t="s">
        <v>919</v>
      </c>
      <c r="T105" t="s">
        <v>919</v>
      </c>
      <c r="U105" t="s">
        <v>919</v>
      </c>
      <c r="V105" t="s">
        <v>919</v>
      </c>
      <c r="W105" t="s">
        <v>919</v>
      </c>
      <c r="X105" t="s">
        <v>919</v>
      </c>
      <c r="Y105" t="s">
        <v>919</v>
      </c>
      <c r="Z105" t="s">
        <v>919</v>
      </c>
      <c r="AA105" t="s">
        <v>919</v>
      </c>
      <c r="AB105" t="s">
        <v>919</v>
      </c>
    </row>
    <row r="106" spans="1:28">
      <c r="A106">
        <v>105</v>
      </c>
      <c r="B106" t="s">
        <v>30</v>
      </c>
      <c r="C106" t="s">
        <v>29</v>
      </c>
      <c r="D106" s="183" t="s">
        <v>233</v>
      </c>
      <c r="E106" t="s">
        <v>919</v>
      </c>
      <c r="F106" t="s">
        <v>919</v>
      </c>
      <c r="G106" t="s">
        <v>919</v>
      </c>
      <c r="H106" t="s">
        <v>919</v>
      </c>
      <c r="I106" t="s">
        <v>919</v>
      </c>
      <c r="J106" t="s">
        <v>919</v>
      </c>
      <c r="K106" t="s">
        <v>919</v>
      </c>
      <c r="L106" t="s">
        <v>919</v>
      </c>
      <c r="M106" t="s">
        <v>919</v>
      </c>
      <c r="N106" t="s">
        <v>919</v>
      </c>
      <c r="O106" t="s">
        <v>919</v>
      </c>
      <c r="P106" t="s">
        <v>919</v>
      </c>
      <c r="Q106" t="s">
        <v>919</v>
      </c>
      <c r="R106" t="s">
        <v>919</v>
      </c>
      <c r="S106" t="s">
        <v>919</v>
      </c>
      <c r="T106" t="s">
        <v>919</v>
      </c>
      <c r="U106" t="s">
        <v>919</v>
      </c>
      <c r="V106" t="s">
        <v>919</v>
      </c>
      <c r="W106" t="s">
        <v>919</v>
      </c>
      <c r="X106" t="s">
        <v>919</v>
      </c>
      <c r="Y106" t="s">
        <v>919</v>
      </c>
      <c r="Z106" t="s">
        <v>919</v>
      </c>
      <c r="AA106" t="s">
        <v>919</v>
      </c>
      <c r="AB106" t="s">
        <v>919</v>
      </c>
    </row>
    <row r="107" spans="1:28">
      <c r="A107">
        <v>106</v>
      </c>
      <c r="B107" t="s">
        <v>28</v>
      </c>
      <c r="C107" t="s">
        <v>27</v>
      </c>
      <c r="D107" s="183" t="s">
        <v>66</v>
      </c>
      <c r="E107" t="s">
        <v>919</v>
      </c>
      <c r="F107" t="s">
        <v>919</v>
      </c>
      <c r="G107" t="s">
        <v>919</v>
      </c>
      <c r="H107" t="s">
        <v>919</v>
      </c>
      <c r="I107" t="s">
        <v>919</v>
      </c>
      <c r="J107" t="s">
        <v>919</v>
      </c>
      <c r="K107" t="s">
        <v>919</v>
      </c>
      <c r="L107" t="s">
        <v>919</v>
      </c>
      <c r="M107" t="s">
        <v>919</v>
      </c>
      <c r="N107" t="s">
        <v>919</v>
      </c>
      <c r="O107" t="s">
        <v>919</v>
      </c>
      <c r="P107" t="s">
        <v>919</v>
      </c>
      <c r="Q107" t="s">
        <v>919</v>
      </c>
      <c r="R107" t="s">
        <v>919</v>
      </c>
      <c r="S107" t="s">
        <v>919</v>
      </c>
      <c r="T107" t="s">
        <v>919</v>
      </c>
      <c r="U107" t="s">
        <v>919</v>
      </c>
      <c r="V107" t="s">
        <v>919</v>
      </c>
      <c r="W107" t="s">
        <v>919</v>
      </c>
      <c r="X107" t="s">
        <v>919</v>
      </c>
      <c r="Y107" t="s">
        <v>919</v>
      </c>
      <c r="Z107" t="s">
        <v>919</v>
      </c>
      <c r="AA107" t="s">
        <v>919</v>
      </c>
      <c r="AB107" t="s">
        <v>919</v>
      </c>
    </row>
    <row r="108" spans="1:28">
      <c r="A108">
        <v>107</v>
      </c>
      <c r="B108" t="s">
        <v>28</v>
      </c>
      <c r="C108" t="s">
        <v>27</v>
      </c>
      <c r="D108" s="183" t="s">
        <v>1060</v>
      </c>
      <c r="E108" t="s">
        <v>919</v>
      </c>
      <c r="F108" t="s">
        <v>919</v>
      </c>
      <c r="G108" t="s">
        <v>919</v>
      </c>
      <c r="H108" t="s">
        <v>919</v>
      </c>
      <c r="I108" t="s">
        <v>919</v>
      </c>
      <c r="J108" t="s">
        <v>919</v>
      </c>
      <c r="K108" t="s">
        <v>919</v>
      </c>
      <c r="L108" t="s">
        <v>919</v>
      </c>
      <c r="M108" t="s">
        <v>919</v>
      </c>
      <c r="N108" t="s">
        <v>919</v>
      </c>
      <c r="O108" t="s">
        <v>919</v>
      </c>
      <c r="P108" t="s">
        <v>919</v>
      </c>
      <c r="Q108" t="s">
        <v>919</v>
      </c>
      <c r="R108" t="s">
        <v>919</v>
      </c>
      <c r="S108" t="s">
        <v>919</v>
      </c>
      <c r="T108" t="s">
        <v>919</v>
      </c>
      <c r="U108" t="s">
        <v>919</v>
      </c>
      <c r="V108" t="s">
        <v>919</v>
      </c>
      <c r="W108" t="s">
        <v>919</v>
      </c>
      <c r="X108" t="s">
        <v>919</v>
      </c>
      <c r="Y108" t="s">
        <v>919</v>
      </c>
      <c r="Z108" t="s">
        <v>919</v>
      </c>
      <c r="AA108" t="s">
        <v>919</v>
      </c>
      <c r="AB108" t="s">
        <v>919</v>
      </c>
    </row>
    <row r="109" spans="1:28">
      <c r="A109">
        <v>108</v>
      </c>
      <c r="B109" t="s">
        <v>28</v>
      </c>
      <c r="C109" t="s">
        <v>27</v>
      </c>
      <c r="D109" s="183" t="s">
        <v>1085</v>
      </c>
      <c r="E109" t="s">
        <v>919</v>
      </c>
      <c r="F109" t="s">
        <v>919</v>
      </c>
      <c r="G109" t="s">
        <v>919</v>
      </c>
      <c r="H109" t="s">
        <v>919</v>
      </c>
      <c r="I109" t="s">
        <v>919</v>
      </c>
      <c r="J109" t="s">
        <v>919</v>
      </c>
      <c r="K109" t="s">
        <v>919</v>
      </c>
      <c r="L109" t="s">
        <v>919</v>
      </c>
      <c r="M109" t="s">
        <v>919</v>
      </c>
      <c r="N109" t="s">
        <v>919</v>
      </c>
      <c r="O109" t="s">
        <v>919</v>
      </c>
      <c r="P109" t="s">
        <v>919</v>
      </c>
      <c r="Q109" t="s">
        <v>919</v>
      </c>
      <c r="R109" t="s">
        <v>919</v>
      </c>
      <c r="S109" t="s">
        <v>919</v>
      </c>
      <c r="T109" t="s">
        <v>919</v>
      </c>
      <c r="U109" t="s">
        <v>919</v>
      </c>
      <c r="V109" t="s">
        <v>919</v>
      </c>
      <c r="W109" t="s">
        <v>919</v>
      </c>
      <c r="X109" t="s">
        <v>919</v>
      </c>
      <c r="Y109" t="s">
        <v>919</v>
      </c>
      <c r="Z109" t="s">
        <v>919</v>
      </c>
      <c r="AA109" t="s">
        <v>919</v>
      </c>
      <c r="AB109" t="s">
        <v>919</v>
      </c>
    </row>
    <row r="110" spans="1:28">
      <c r="A110">
        <v>109</v>
      </c>
      <c r="B110" t="s">
        <v>28</v>
      </c>
      <c r="C110" t="s">
        <v>27</v>
      </c>
      <c r="D110" s="183" t="s">
        <v>1086</v>
      </c>
      <c r="E110" t="s">
        <v>919</v>
      </c>
      <c r="F110" t="s">
        <v>919</v>
      </c>
      <c r="G110" t="s">
        <v>919</v>
      </c>
      <c r="H110" t="s">
        <v>919</v>
      </c>
      <c r="I110" t="s">
        <v>919</v>
      </c>
      <c r="J110" t="s">
        <v>919</v>
      </c>
      <c r="K110" t="s">
        <v>919</v>
      </c>
      <c r="L110" t="s">
        <v>919</v>
      </c>
      <c r="M110" t="s">
        <v>919</v>
      </c>
      <c r="N110" t="s">
        <v>919</v>
      </c>
      <c r="O110" t="s">
        <v>919</v>
      </c>
      <c r="P110" t="s">
        <v>919</v>
      </c>
      <c r="Q110" t="s">
        <v>919</v>
      </c>
      <c r="R110" t="s">
        <v>919</v>
      </c>
      <c r="S110" t="s">
        <v>919</v>
      </c>
      <c r="T110" t="s">
        <v>919</v>
      </c>
      <c r="U110" t="s">
        <v>919</v>
      </c>
      <c r="V110" t="s">
        <v>919</v>
      </c>
      <c r="W110" t="s">
        <v>919</v>
      </c>
      <c r="X110" t="s">
        <v>919</v>
      </c>
      <c r="Y110" t="s">
        <v>919</v>
      </c>
      <c r="Z110" t="s">
        <v>919</v>
      </c>
      <c r="AA110" t="s">
        <v>919</v>
      </c>
      <c r="AB110" t="s">
        <v>919</v>
      </c>
    </row>
    <row r="111" spans="1:28">
      <c r="A111">
        <v>110</v>
      </c>
      <c r="B111" t="s">
        <v>28</v>
      </c>
      <c r="C111" t="s">
        <v>27</v>
      </c>
      <c r="D111" s="183" t="s">
        <v>67</v>
      </c>
      <c r="E111" t="s">
        <v>919</v>
      </c>
      <c r="F111" t="s">
        <v>919</v>
      </c>
      <c r="G111" t="s">
        <v>919</v>
      </c>
      <c r="H111" t="s">
        <v>919</v>
      </c>
      <c r="I111" t="s">
        <v>919</v>
      </c>
      <c r="J111" t="s">
        <v>919</v>
      </c>
      <c r="K111" t="s">
        <v>919</v>
      </c>
      <c r="L111" t="s">
        <v>919</v>
      </c>
      <c r="M111" t="s">
        <v>919</v>
      </c>
      <c r="N111" t="s">
        <v>919</v>
      </c>
      <c r="O111" t="s">
        <v>919</v>
      </c>
      <c r="P111" t="s">
        <v>919</v>
      </c>
      <c r="Q111" t="s">
        <v>919</v>
      </c>
      <c r="R111" t="s">
        <v>919</v>
      </c>
      <c r="S111" t="s">
        <v>919</v>
      </c>
      <c r="T111" t="s">
        <v>919</v>
      </c>
      <c r="U111" t="s">
        <v>919</v>
      </c>
      <c r="V111" t="s">
        <v>919</v>
      </c>
      <c r="W111" t="s">
        <v>919</v>
      </c>
      <c r="X111" t="s">
        <v>919</v>
      </c>
      <c r="Y111" t="s">
        <v>919</v>
      </c>
      <c r="Z111" t="s">
        <v>919</v>
      </c>
      <c r="AA111" t="s">
        <v>919</v>
      </c>
      <c r="AB111" t="s">
        <v>919</v>
      </c>
    </row>
    <row r="112" spans="1:28">
      <c r="A112">
        <v>111</v>
      </c>
      <c r="B112" t="s">
        <v>28</v>
      </c>
      <c r="C112" t="s">
        <v>27</v>
      </c>
      <c r="D112" s="183" t="s">
        <v>68</v>
      </c>
      <c r="E112" t="s">
        <v>919</v>
      </c>
      <c r="F112" t="s">
        <v>919</v>
      </c>
      <c r="G112" t="s">
        <v>919</v>
      </c>
      <c r="H112" t="s">
        <v>919</v>
      </c>
      <c r="I112" t="s">
        <v>919</v>
      </c>
      <c r="J112" t="s">
        <v>919</v>
      </c>
      <c r="K112" t="s">
        <v>919</v>
      </c>
      <c r="L112" t="s">
        <v>919</v>
      </c>
      <c r="M112" t="s">
        <v>919</v>
      </c>
      <c r="N112" t="s">
        <v>919</v>
      </c>
      <c r="O112" t="s">
        <v>919</v>
      </c>
      <c r="P112" t="s">
        <v>919</v>
      </c>
      <c r="Q112" t="s">
        <v>919</v>
      </c>
      <c r="R112" t="s">
        <v>919</v>
      </c>
      <c r="S112" t="s">
        <v>919</v>
      </c>
      <c r="T112" t="s">
        <v>919</v>
      </c>
      <c r="U112" t="s">
        <v>919</v>
      </c>
      <c r="V112" t="s">
        <v>919</v>
      </c>
      <c r="W112" t="s">
        <v>919</v>
      </c>
      <c r="X112" t="s">
        <v>919</v>
      </c>
      <c r="Y112" t="s">
        <v>919</v>
      </c>
      <c r="Z112" t="s">
        <v>919</v>
      </c>
      <c r="AA112" t="s">
        <v>919</v>
      </c>
      <c r="AB112" t="s">
        <v>919</v>
      </c>
    </row>
    <row r="113" spans="1:28">
      <c r="A113">
        <v>112</v>
      </c>
      <c r="B113" t="s">
        <v>28</v>
      </c>
      <c r="C113" t="s">
        <v>27</v>
      </c>
      <c r="D113" s="188" t="s">
        <v>1064</v>
      </c>
      <c r="E113" t="s">
        <v>919</v>
      </c>
      <c r="F113" t="s">
        <v>919</v>
      </c>
      <c r="G113" t="s">
        <v>919</v>
      </c>
      <c r="H113" t="s">
        <v>919</v>
      </c>
      <c r="I113" t="s">
        <v>919</v>
      </c>
      <c r="J113" t="s">
        <v>919</v>
      </c>
      <c r="K113" t="s">
        <v>919</v>
      </c>
      <c r="L113" t="s">
        <v>919</v>
      </c>
      <c r="M113" t="s">
        <v>919</v>
      </c>
      <c r="N113" t="s">
        <v>919</v>
      </c>
      <c r="O113" t="s">
        <v>919</v>
      </c>
      <c r="P113" t="s">
        <v>919</v>
      </c>
      <c r="Q113" t="s">
        <v>919</v>
      </c>
      <c r="R113" t="s">
        <v>919</v>
      </c>
      <c r="S113" t="s">
        <v>919</v>
      </c>
      <c r="T113" t="s">
        <v>919</v>
      </c>
      <c r="U113" t="s">
        <v>919</v>
      </c>
      <c r="V113" t="s">
        <v>919</v>
      </c>
      <c r="W113" t="s">
        <v>919</v>
      </c>
      <c r="X113" t="s">
        <v>919</v>
      </c>
      <c r="Y113" t="s">
        <v>919</v>
      </c>
      <c r="Z113" t="s">
        <v>919</v>
      </c>
      <c r="AA113" t="s">
        <v>919</v>
      </c>
      <c r="AB113" t="s">
        <v>919</v>
      </c>
    </row>
    <row r="114" spans="1:28">
      <c r="A114">
        <v>113</v>
      </c>
      <c r="B114" t="s">
        <v>28</v>
      </c>
      <c r="C114" t="s">
        <v>27</v>
      </c>
      <c r="D114" s="183" t="s">
        <v>233</v>
      </c>
      <c r="E114" t="s">
        <v>919</v>
      </c>
      <c r="F114" t="s">
        <v>919</v>
      </c>
      <c r="G114" t="s">
        <v>919</v>
      </c>
      <c r="H114" t="s">
        <v>919</v>
      </c>
      <c r="I114" t="s">
        <v>919</v>
      </c>
      <c r="J114" t="s">
        <v>919</v>
      </c>
      <c r="K114" t="s">
        <v>919</v>
      </c>
      <c r="L114" t="s">
        <v>919</v>
      </c>
      <c r="M114" t="s">
        <v>919</v>
      </c>
      <c r="N114" t="s">
        <v>919</v>
      </c>
      <c r="O114" t="s">
        <v>919</v>
      </c>
      <c r="P114" t="s">
        <v>919</v>
      </c>
      <c r="Q114" t="s">
        <v>919</v>
      </c>
      <c r="R114" t="s">
        <v>919</v>
      </c>
      <c r="S114" t="s">
        <v>919</v>
      </c>
      <c r="T114" t="s">
        <v>919</v>
      </c>
      <c r="U114" t="s">
        <v>919</v>
      </c>
      <c r="V114" t="s">
        <v>919</v>
      </c>
      <c r="W114" t="s">
        <v>919</v>
      </c>
      <c r="X114" t="s">
        <v>919</v>
      </c>
      <c r="Y114" t="s">
        <v>919</v>
      </c>
      <c r="Z114" t="s">
        <v>919</v>
      </c>
      <c r="AA114" t="s">
        <v>919</v>
      </c>
      <c r="AB114" t="s">
        <v>919</v>
      </c>
    </row>
    <row r="115" spans="1:28">
      <c r="A115">
        <v>114</v>
      </c>
      <c r="B115" t="s">
        <v>25</v>
      </c>
      <c r="C115" t="s">
        <v>24</v>
      </c>
      <c r="D115" s="183" t="s">
        <v>66</v>
      </c>
      <c r="E115" t="s">
        <v>919</v>
      </c>
      <c r="F115" t="s">
        <v>919</v>
      </c>
      <c r="G115" t="s">
        <v>919</v>
      </c>
      <c r="H115" t="s">
        <v>919</v>
      </c>
      <c r="I115" t="s">
        <v>919</v>
      </c>
      <c r="J115" t="s">
        <v>919</v>
      </c>
      <c r="K115" t="s">
        <v>919</v>
      </c>
      <c r="L115" t="s">
        <v>919</v>
      </c>
      <c r="M115" t="s">
        <v>919</v>
      </c>
      <c r="N115" t="s">
        <v>919</v>
      </c>
      <c r="O115" t="s">
        <v>919</v>
      </c>
      <c r="P115" t="s">
        <v>919</v>
      </c>
      <c r="Q115" t="s">
        <v>919</v>
      </c>
      <c r="R115" t="s">
        <v>919</v>
      </c>
      <c r="S115" t="s">
        <v>919</v>
      </c>
      <c r="T115" t="s">
        <v>919</v>
      </c>
      <c r="U115" t="s">
        <v>919</v>
      </c>
      <c r="V115" t="s">
        <v>919</v>
      </c>
      <c r="W115" t="s">
        <v>919</v>
      </c>
      <c r="X115" t="s">
        <v>919</v>
      </c>
      <c r="Y115" t="s">
        <v>919</v>
      </c>
      <c r="Z115" t="s">
        <v>919</v>
      </c>
      <c r="AA115" t="s">
        <v>919</v>
      </c>
      <c r="AB115" t="s">
        <v>919</v>
      </c>
    </row>
    <row r="116" spans="1:28">
      <c r="A116">
        <v>115</v>
      </c>
      <c r="B116" t="s">
        <v>25</v>
      </c>
      <c r="C116" t="s">
        <v>24</v>
      </c>
      <c r="D116" s="183" t="s">
        <v>1060</v>
      </c>
      <c r="E116" t="s">
        <v>919</v>
      </c>
      <c r="F116" t="s">
        <v>919</v>
      </c>
      <c r="G116" t="s">
        <v>919</v>
      </c>
      <c r="H116" t="s">
        <v>919</v>
      </c>
      <c r="I116" t="s">
        <v>919</v>
      </c>
      <c r="J116" t="s">
        <v>919</v>
      </c>
      <c r="K116" t="s">
        <v>919</v>
      </c>
      <c r="L116" t="s">
        <v>919</v>
      </c>
      <c r="M116" t="s">
        <v>919</v>
      </c>
      <c r="N116" t="s">
        <v>919</v>
      </c>
      <c r="O116" t="s">
        <v>919</v>
      </c>
      <c r="P116" t="s">
        <v>919</v>
      </c>
      <c r="Q116" t="s">
        <v>919</v>
      </c>
      <c r="R116" t="s">
        <v>919</v>
      </c>
      <c r="S116" t="s">
        <v>919</v>
      </c>
      <c r="T116" t="s">
        <v>919</v>
      </c>
      <c r="U116" t="s">
        <v>919</v>
      </c>
      <c r="V116" t="s">
        <v>919</v>
      </c>
      <c r="W116" t="s">
        <v>919</v>
      </c>
      <c r="X116" t="s">
        <v>919</v>
      </c>
      <c r="Y116" t="s">
        <v>919</v>
      </c>
      <c r="Z116" t="s">
        <v>919</v>
      </c>
      <c r="AA116" t="s">
        <v>919</v>
      </c>
      <c r="AB116" t="s">
        <v>919</v>
      </c>
    </row>
    <row r="117" spans="1:28">
      <c r="A117">
        <v>116</v>
      </c>
      <c r="B117" t="s">
        <v>25</v>
      </c>
      <c r="C117" t="s">
        <v>24</v>
      </c>
      <c r="D117" s="183" t="s">
        <v>1087</v>
      </c>
      <c r="E117" t="s">
        <v>919</v>
      </c>
      <c r="F117" t="s">
        <v>919</v>
      </c>
      <c r="G117" t="s">
        <v>919</v>
      </c>
      <c r="H117" t="s">
        <v>919</v>
      </c>
      <c r="I117" t="s">
        <v>919</v>
      </c>
      <c r="J117" t="s">
        <v>919</v>
      </c>
      <c r="K117" t="s">
        <v>919</v>
      </c>
      <c r="L117" t="s">
        <v>919</v>
      </c>
      <c r="M117" t="s">
        <v>919</v>
      </c>
      <c r="N117" t="s">
        <v>919</v>
      </c>
      <c r="O117" t="s">
        <v>919</v>
      </c>
      <c r="P117" t="s">
        <v>919</v>
      </c>
      <c r="Q117" t="s">
        <v>919</v>
      </c>
      <c r="R117" t="s">
        <v>919</v>
      </c>
      <c r="S117" t="s">
        <v>919</v>
      </c>
      <c r="T117" t="s">
        <v>919</v>
      </c>
      <c r="U117" t="s">
        <v>919</v>
      </c>
      <c r="V117" t="s">
        <v>919</v>
      </c>
      <c r="W117" t="s">
        <v>919</v>
      </c>
      <c r="X117" t="s">
        <v>919</v>
      </c>
      <c r="Y117" t="s">
        <v>919</v>
      </c>
      <c r="Z117" t="s">
        <v>919</v>
      </c>
      <c r="AA117" t="s">
        <v>919</v>
      </c>
      <c r="AB117" t="s">
        <v>919</v>
      </c>
    </row>
    <row r="118" spans="1:28">
      <c r="A118">
        <v>117</v>
      </c>
      <c r="B118" t="s">
        <v>25</v>
      </c>
      <c r="C118" t="s">
        <v>24</v>
      </c>
      <c r="D118" s="183" t="s">
        <v>1088</v>
      </c>
      <c r="E118" t="s">
        <v>919</v>
      </c>
      <c r="F118" t="s">
        <v>919</v>
      </c>
      <c r="G118" t="s">
        <v>919</v>
      </c>
      <c r="H118" t="s">
        <v>919</v>
      </c>
      <c r="I118" t="s">
        <v>919</v>
      </c>
      <c r="J118" t="s">
        <v>919</v>
      </c>
      <c r="K118" t="s">
        <v>919</v>
      </c>
      <c r="L118" t="s">
        <v>919</v>
      </c>
      <c r="M118" t="s">
        <v>919</v>
      </c>
      <c r="N118" t="s">
        <v>919</v>
      </c>
      <c r="O118" t="s">
        <v>919</v>
      </c>
      <c r="P118" t="s">
        <v>919</v>
      </c>
      <c r="Q118" t="s">
        <v>919</v>
      </c>
      <c r="R118" t="s">
        <v>919</v>
      </c>
      <c r="S118" t="s">
        <v>919</v>
      </c>
      <c r="T118" t="s">
        <v>919</v>
      </c>
      <c r="U118" t="s">
        <v>919</v>
      </c>
      <c r="V118" t="s">
        <v>919</v>
      </c>
      <c r="W118" t="s">
        <v>919</v>
      </c>
      <c r="X118" t="s">
        <v>919</v>
      </c>
      <c r="Y118" t="s">
        <v>919</v>
      </c>
      <c r="Z118" t="s">
        <v>919</v>
      </c>
      <c r="AA118" t="s">
        <v>919</v>
      </c>
      <c r="AB118" t="s">
        <v>919</v>
      </c>
    </row>
    <row r="119" spans="1:28">
      <c r="A119">
        <v>118</v>
      </c>
      <c r="B119" t="s">
        <v>25</v>
      </c>
      <c r="C119" t="s">
        <v>24</v>
      </c>
      <c r="D119" s="183" t="s">
        <v>67</v>
      </c>
      <c r="E119" t="s">
        <v>919</v>
      </c>
      <c r="F119" t="s">
        <v>919</v>
      </c>
      <c r="G119" t="s">
        <v>919</v>
      </c>
      <c r="H119" t="s">
        <v>919</v>
      </c>
      <c r="I119" t="s">
        <v>919</v>
      </c>
      <c r="J119" t="s">
        <v>919</v>
      </c>
      <c r="K119" t="s">
        <v>919</v>
      </c>
      <c r="L119" t="s">
        <v>919</v>
      </c>
      <c r="M119" t="s">
        <v>919</v>
      </c>
      <c r="N119" t="s">
        <v>919</v>
      </c>
      <c r="O119" t="s">
        <v>919</v>
      </c>
      <c r="P119" t="s">
        <v>919</v>
      </c>
      <c r="Q119" t="s">
        <v>919</v>
      </c>
      <c r="R119" t="s">
        <v>919</v>
      </c>
      <c r="S119" t="s">
        <v>919</v>
      </c>
      <c r="T119" t="s">
        <v>919</v>
      </c>
      <c r="U119" t="s">
        <v>919</v>
      </c>
      <c r="V119" t="s">
        <v>919</v>
      </c>
      <c r="W119" t="s">
        <v>919</v>
      </c>
      <c r="X119" t="s">
        <v>919</v>
      </c>
      <c r="Y119" t="s">
        <v>919</v>
      </c>
      <c r="Z119" t="s">
        <v>919</v>
      </c>
      <c r="AA119" t="s">
        <v>919</v>
      </c>
      <c r="AB119" t="s">
        <v>919</v>
      </c>
    </row>
    <row r="120" spans="1:28">
      <c r="A120">
        <v>119</v>
      </c>
      <c r="B120" t="s">
        <v>25</v>
      </c>
      <c r="C120" t="s">
        <v>24</v>
      </c>
      <c r="D120" s="183" t="s">
        <v>68</v>
      </c>
      <c r="E120" t="s">
        <v>919</v>
      </c>
      <c r="F120" t="s">
        <v>919</v>
      </c>
      <c r="G120" t="s">
        <v>919</v>
      </c>
      <c r="H120" t="s">
        <v>919</v>
      </c>
      <c r="I120" t="s">
        <v>919</v>
      </c>
      <c r="J120" t="s">
        <v>919</v>
      </c>
      <c r="K120" t="s">
        <v>919</v>
      </c>
      <c r="L120" t="s">
        <v>919</v>
      </c>
      <c r="M120" t="s">
        <v>919</v>
      </c>
      <c r="N120" t="s">
        <v>919</v>
      </c>
      <c r="O120" t="s">
        <v>919</v>
      </c>
      <c r="P120" t="s">
        <v>919</v>
      </c>
      <c r="Q120" t="s">
        <v>919</v>
      </c>
      <c r="R120" t="s">
        <v>919</v>
      </c>
      <c r="S120" t="s">
        <v>919</v>
      </c>
      <c r="T120" t="s">
        <v>919</v>
      </c>
      <c r="U120" t="s">
        <v>919</v>
      </c>
      <c r="V120" t="s">
        <v>919</v>
      </c>
      <c r="W120" t="s">
        <v>919</v>
      </c>
      <c r="X120" t="s">
        <v>919</v>
      </c>
      <c r="Y120" t="s">
        <v>919</v>
      </c>
      <c r="Z120" t="s">
        <v>919</v>
      </c>
      <c r="AA120" t="s">
        <v>919</v>
      </c>
      <c r="AB120" t="s">
        <v>919</v>
      </c>
    </row>
    <row r="121" spans="1:28">
      <c r="A121">
        <v>120</v>
      </c>
      <c r="B121" t="s">
        <v>25</v>
      </c>
      <c r="C121" t="s">
        <v>24</v>
      </c>
      <c r="D121" s="188" t="s">
        <v>1064</v>
      </c>
      <c r="E121" t="s">
        <v>919</v>
      </c>
      <c r="F121" t="s">
        <v>919</v>
      </c>
      <c r="G121" t="s">
        <v>919</v>
      </c>
      <c r="H121" t="s">
        <v>919</v>
      </c>
      <c r="I121" t="s">
        <v>919</v>
      </c>
      <c r="J121" t="s">
        <v>919</v>
      </c>
      <c r="K121" t="s">
        <v>919</v>
      </c>
      <c r="L121" t="s">
        <v>919</v>
      </c>
      <c r="M121" t="s">
        <v>919</v>
      </c>
      <c r="N121" t="s">
        <v>919</v>
      </c>
      <c r="O121" t="s">
        <v>919</v>
      </c>
      <c r="P121" t="s">
        <v>919</v>
      </c>
      <c r="Q121" t="s">
        <v>919</v>
      </c>
      <c r="R121" t="s">
        <v>919</v>
      </c>
      <c r="S121" t="s">
        <v>919</v>
      </c>
      <c r="T121" t="s">
        <v>919</v>
      </c>
      <c r="U121" t="s">
        <v>919</v>
      </c>
      <c r="V121" t="s">
        <v>919</v>
      </c>
      <c r="W121" t="s">
        <v>919</v>
      </c>
      <c r="X121" t="s">
        <v>919</v>
      </c>
      <c r="Y121" t="s">
        <v>919</v>
      </c>
      <c r="Z121" t="s">
        <v>919</v>
      </c>
      <c r="AA121" t="s">
        <v>919</v>
      </c>
      <c r="AB121" t="s">
        <v>919</v>
      </c>
    </row>
    <row r="122" spans="1:28">
      <c r="A122">
        <v>121</v>
      </c>
      <c r="B122" t="s">
        <v>25</v>
      </c>
      <c r="C122" t="s">
        <v>24</v>
      </c>
      <c r="D122" s="183" t="s">
        <v>233</v>
      </c>
      <c r="E122" t="s">
        <v>919</v>
      </c>
      <c r="F122" t="s">
        <v>919</v>
      </c>
      <c r="G122" t="s">
        <v>919</v>
      </c>
      <c r="H122" t="s">
        <v>919</v>
      </c>
      <c r="I122" t="s">
        <v>919</v>
      </c>
      <c r="J122" t="s">
        <v>919</v>
      </c>
      <c r="K122" t="s">
        <v>919</v>
      </c>
      <c r="L122" t="s">
        <v>919</v>
      </c>
      <c r="M122" t="s">
        <v>919</v>
      </c>
      <c r="N122" t="s">
        <v>919</v>
      </c>
      <c r="O122" t="s">
        <v>919</v>
      </c>
      <c r="P122" t="s">
        <v>919</v>
      </c>
      <c r="Q122" t="s">
        <v>919</v>
      </c>
      <c r="R122" t="s">
        <v>919</v>
      </c>
      <c r="S122" t="s">
        <v>919</v>
      </c>
      <c r="T122" t="s">
        <v>919</v>
      </c>
      <c r="U122" t="s">
        <v>919</v>
      </c>
      <c r="V122" t="s">
        <v>919</v>
      </c>
      <c r="W122" t="s">
        <v>919</v>
      </c>
      <c r="X122" t="s">
        <v>919</v>
      </c>
      <c r="Y122" t="s">
        <v>919</v>
      </c>
      <c r="Z122" t="s">
        <v>919</v>
      </c>
      <c r="AA122" t="s">
        <v>919</v>
      </c>
      <c r="AB122" t="s">
        <v>919</v>
      </c>
    </row>
    <row r="123" spans="1:28">
      <c r="A123">
        <v>122</v>
      </c>
      <c r="B123" t="s">
        <v>23</v>
      </c>
      <c r="C123" t="s">
        <v>22</v>
      </c>
      <c r="D123" s="183" t="s">
        <v>66</v>
      </c>
      <c r="E123" t="s">
        <v>919</v>
      </c>
      <c r="F123" t="s">
        <v>919</v>
      </c>
      <c r="G123" t="s">
        <v>919</v>
      </c>
      <c r="H123" t="s">
        <v>919</v>
      </c>
      <c r="I123" t="s">
        <v>919</v>
      </c>
      <c r="J123" t="s">
        <v>919</v>
      </c>
      <c r="K123" t="s">
        <v>919</v>
      </c>
      <c r="L123" t="s">
        <v>919</v>
      </c>
      <c r="M123" t="s">
        <v>919</v>
      </c>
      <c r="N123" t="s">
        <v>919</v>
      </c>
      <c r="O123" t="s">
        <v>919</v>
      </c>
      <c r="P123" t="s">
        <v>919</v>
      </c>
      <c r="Q123" t="s">
        <v>919</v>
      </c>
      <c r="R123" t="s">
        <v>919</v>
      </c>
      <c r="S123" t="s">
        <v>919</v>
      </c>
      <c r="T123" t="s">
        <v>919</v>
      </c>
      <c r="U123" t="s">
        <v>919</v>
      </c>
      <c r="V123" t="s">
        <v>919</v>
      </c>
      <c r="W123" t="s">
        <v>919</v>
      </c>
      <c r="X123" t="s">
        <v>919</v>
      </c>
      <c r="Y123" t="s">
        <v>919</v>
      </c>
      <c r="Z123" t="s">
        <v>919</v>
      </c>
      <c r="AA123" t="s">
        <v>919</v>
      </c>
      <c r="AB123" t="s">
        <v>919</v>
      </c>
    </row>
    <row r="124" spans="1:28">
      <c r="A124">
        <v>123</v>
      </c>
      <c r="B124" t="s">
        <v>23</v>
      </c>
      <c r="C124" t="s">
        <v>22</v>
      </c>
      <c r="D124" s="183" t="s">
        <v>1060</v>
      </c>
      <c r="E124" t="s">
        <v>919</v>
      </c>
      <c r="F124" t="s">
        <v>919</v>
      </c>
      <c r="G124" t="s">
        <v>919</v>
      </c>
      <c r="H124" t="s">
        <v>919</v>
      </c>
      <c r="I124" t="s">
        <v>919</v>
      </c>
      <c r="J124" t="s">
        <v>919</v>
      </c>
      <c r="K124" t="s">
        <v>919</v>
      </c>
      <c r="L124" t="s">
        <v>919</v>
      </c>
      <c r="M124" t="s">
        <v>919</v>
      </c>
      <c r="N124" t="s">
        <v>919</v>
      </c>
      <c r="O124" t="s">
        <v>919</v>
      </c>
      <c r="P124" t="s">
        <v>919</v>
      </c>
      <c r="Q124" t="s">
        <v>919</v>
      </c>
      <c r="R124" t="s">
        <v>919</v>
      </c>
      <c r="S124" t="s">
        <v>919</v>
      </c>
      <c r="T124" t="s">
        <v>919</v>
      </c>
      <c r="U124" t="s">
        <v>919</v>
      </c>
      <c r="V124" t="s">
        <v>919</v>
      </c>
      <c r="W124" t="s">
        <v>919</v>
      </c>
      <c r="X124" t="s">
        <v>919</v>
      </c>
      <c r="Y124" t="s">
        <v>919</v>
      </c>
      <c r="Z124" t="s">
        <v>919</v>
      </c>
      <c r="AA124" t="s">
        <v>919</v>
      </c>
      <c r="AB124" t="s">
        <v>919</v>
      </c>
    </row>
    <row r="125" spans="1:28">
      <c r="A125">
        <v>124</v>
      </c>
      <c r="B125" t="s">
        <v>23</v>
      </c>
      <c r="C125" t="s">
        <v>22</v>
      </c>
      <c r="D125" s="183" t="s">
        <v>1089</v>
      </c>
      <c r="E125" t="s">
        <v>919</v>
      </c>
      <c r="F125" t="s">
        <v>919</v>
      </c>
      <c r="G125" t="s">
        <v>919</v>
      </c>
      <c r="H125" t="s">
        <v>919</v>
      </c>
      <c r="I125" t="s">
        <v>919</v>
      </c>
      <c r="J125" t="s">
        <v>919</v>
      </c>
      <c r="K125" t="s">
        <v>919</v>
      </c>
      <c r="L125" t="s">
        <v>919</v>
      </c>
      <c r="M125" t="s">
        <v>919</v>
      </c>
      <c r="N125" t="s">
        <v>919</v>
      </c>
      <c r="O125" t="s">
        <v>919</v>
      </c>
      <c r="P125" t="s">
        <v>919</v>
      </c>
      <c r="Q125" t="s">
        <v>919</v>
      </c>
      <c r="R125" t="s">
        <v>919</v>
      </c>
      <c r="S125" t="s">
        <v>919</v>
      </c>
      <c r="T125" t="s">
        <v>919</v>
      </c>
      <c r="U125" t="s">
        <v>919</v>
      </c>
      <c r="V125" t="s">
        <v>919</v>
      </c>
      <c r="W125" t="s">
        <v>919</v>
      </c>
      <c r="X125" t="s">
        <v>919</v>
      </c>
      <c r="Y125" t="s">
        <v>919</v>
      </c>
      <c r="Z125" t="s">
        <v>919</v>
      </c>
      <c r="AA125" t="s">
        <v>919</v>
      </c>
      <c r="AB125" t="s">
        <v>919</v>
      </c>
    </row>
    <row r="126" spans="1:28">
      <c r="A126">
        <v>125</v>
      </c>
      <c r="B126" t="s">
        <v>23</v>
      </c>
      <c r="C126" t="s">
        <v>22</v>
      </c>
      <c r="D126" s="183" t="s">
        <v>1090</v>
      </c>
      <c r="E126" t="s">
        <v>919</v>
      </c>
      <c r="F126" t="s">
        <v>919</v>
      </c>
      <c r="G126" t="s">
        <v>919</v>
      </c>
      <c r="H126" t="s">
        <v>919</v>
      </c>
      <c r="I126" t="s">
        <v>919</v>
      </c>
      <c r="J126" t="s">
        <v>919</v>
      </c>
      <c r="K126" t="s">
        <v>919</v>
      </c>
      <c r="L126" t="s">
        <v>919</v>
      </c>
      <c r="M126" t="s">
        <v>919</v>
      </c>
      <c r="N126" t="s">
        <v>919</v>
      </c>
      <c r="O126" t="s">
        <v>919</v>
      </c>
      <c r="P126" t="s">
        <v>919</v>
      </c>
      <c r="Q126" t="s">
        <v>919</v>
      </c>
      <c r="R126" t="s">
        <v>919</v>
      </c>
      <c r="S126" t="s">
        <v>919</v>
      </c>
      <c r="T126" t="s">
        <v>919</v>
      </c>
      <c r="U126" t="s">
        <v>919</v>
      </c>
      <c r="V126" t="s">
        <v>919</v>
      </c>
      <c r="W126" t="s">
        <v>919</v>
      </c>
      <c r="X126" t="s">
        <v>919</v>
      </c>
      <c r="Y126" t="s">
        <v>919</v>
      </c>
      <c r="Z126" t="s">
        <v>919</v>
      </c>
      <c r="AA126" t="s">
        <v>919</v>
      </c>
      <c r="AB126" t="s">
        <v>919</v>
      </c>
    </row>
    <row r="127" spans="1:28">
      <c r="A127">
        <v>126</v>
      </c>
      <c r="B127" t="s">
        <v>23</v>
      </c>
      <c r="C127" t="s">
        <v>22</v>
      </c>
      <c r="D127" s="183" t="s">
        <v>67</v>
      </c>
      <c r="E127" t="s">
        <v>919</v>
      </c>
      <c r="F127" t="s">
        <v>919</v>
      </c>
      <c r="G127" t="s">
        <v>919</v>
      </c>
      <c r="H127" t="s">
        <v>919</v>
      </c>
      <c r="I127" t="s">
        <v>919</v>
      </c>
      <c r="J127" t="s">
        <v>919</v>
      </c>
      <c r="K127" t="s">
        <v>919</v>
      </c>
      <c r="L127" t="s">
        <v>919</v>
      </c>
      <c r="M127" t="s">
        <v>919</v>
      </c>
      <c r="N127" t="s">
        <v>919</v>
      </c>
      <c r="O127" t="s">
        <v>919</v>
      </c>
      <c r="P127" t="s">
        <v>919</v>
      </c>
      <c r="Q127" t="s">
        <v>919</v>
      </c>
      <c r="R127" t="s">
        <v>919</v>
      </c>
      <c r="S127" t="s">
        <v>919</v>
      </c>
      <c r="T127" t="s">
        <v>919</v>
      </c>
      <c r="U127" t="s">
        <v>919</v>
      </c>
      <c r="V127" t="s">
        <v>919</v>
      </c>
      <c r="W127" t="s">
        <v>919</v>
      </c>
      <c r="X127" t="s">
        <v>919</v>
      </c>
      <c r="Y127" t="s">
        <v>919</v>
      </c>
      <c r="Z127" t="s">
        <v>919</v>
      </c>
      <c r="AA127" t="s">
        <v>919</v>
      </c>
      <c r="AB127" t="s">
        <v>919</v>
      </c>
    </row>
    <row r="128" spans="1:28">
      <c r="A128">
        <v>127</v>
      </c>
      <c r="B128" t="s">
        <v>23</v>
      </c>
      <c r="C128" t="s">
        <v>22</v>
      </c>
      <c r="D128" s="183" t="s">
        <v>68</v>
      </c>
      <c r="E128" t="s">
        <v>919</v>
      </c>
      <c r="F128" t="s">
        <v>919</v>
      </c>
      <c r="G128" t="s">
        <v>919</v>
      </c>
      <c r="H128" t="s">
        <v>919</v>
      </c>
      <c r="I128" t="s">
        <v>919</v>
      </c>
      <c r="J128" t="s">
        <v>919</v>
      </c>
      <c r="K128" t="s">
        <v>919</v>
      </c>
      <c r="L128" t="s">
        <v>919</v>
      </c>
      <c r="M128" t="s">
        <v>919</v>
      </c>
      <c r="N128" t="s">
        <v>919</v>
      </c>
      <c r="O128" t="s">
        <v>919</v>
      </c>
      <c r="P128" t="s">
        <v>919</v>
      </c>
      <c r="Q128" t="s">
        <v>919</v>
      </c>
      <c r="R128" t="s">
        <v>919</v>
      </c>
      <c r="S128" t="s">
        <v>919</v>
      </c>
      <c r="T128" t="s">
        <v>919</v>
      </c>
      <c r="U128" t="s">
        <v>919</v>
      </c>
      <c r="V128" t="s">
        <v>919</v>
      </c>
      <c r="W128" t="s">
        <v>919</v>
      </c>
      <c r="X128" t="s">
        <v>919</v>
      </c>
      <c r="Y128" t="s">
        <v>919</v>
      </c>
      <c r="Z128" t="s">
        <v>919</v>
      </c>
      <c r="AA128" t="s">
        <v>919</v>
      </c>
      <c r="AB128" t="s">
        <v>919</v>
      </c>
    </row>
    <row r="129" spans="1:28">
      <c r="A129">
        <v>128</v>
      </c>
      <c r="B129" t="s">
        <v>23</v>
      </c>
      <c r="C129" t="s">
        <v>22</v>
      </c>
      <c r="D129" s="188" t="s">
        <v>1064</v>
      </c>
      <c r="E129" t="s">
        <v>919</v>
      </c>
      <c r="F129" t="s">
        <v>919</v>
      </c>
      <c r="G129" t="s">
        <v>919</v>
      </c>
      <c r="H129" t="s">
        <v>919</v>
      </c>
      <c r="I129" t="s">
        <v>919</v>
      </c>
      <c r="J129" t="s">
        <v>919</v>
      </c>
      <c r="K129" t="s">
        <v>919</v>
      </c>
      <c r="L129" t="s">
        <v>919</v>
      </c>
      <c r="M129" t="s">
        <v>919</v>
      </c>
      <c r="N129" t="s">
        <v>919</v>
      </c>
      <c r="O129" t="s">
        <v>919</v>
      </c>
      <c r="P129" t="s">
        <v>919</v>
      </c>
      <c r="Q129" t="s">
        <v>919</v>
      </c>
      <c r="R129" t="s">
        <v>919</v>
      </c>
      <c r="S129" t="s">
        <v>919</v>
      </c>
      <c r="T129" t="s">
        <v>919</v>
      </c>
      <c r="U129" t="s">
        <v>919</v>
      </c>
      <c r="V129" t="s">
        <v>919</v>
      </c>
      <c r="W129" t="s">
        <v>919</v>
      </c>
      <c r="X129" t="s">
        <v>919</v>
      </c>
      <c r="Y129" t="s">
        <v>919</v>
      </c>
      <c r="Z129" t="s">
        <v>919</v>
      </c>
      <c r="AA129" t="s">
        <v>919</v>
      </c>
      <c r="AB129" t="s">
        <v>919</v>
      </c>
    </row>
    <row r="130" spans="1:28">
      <c r="A130">
        <v>129</v>
      </c>
      <c r="B130" t="s">
        <v>23</v>
      </c>
      <c r="C130" t="s">
        <v>22</v>
      </c>
      <c r="D130" s="183" t="s">
        <v>233</v>
      </c>
      <c r="E130" t="s">
        <v>919</v>
      </c>
      <c r="F130" t="s">
        <v>919</v>
      </c>
      <c r="G130" t="s">
        <v>919</v>
      </c>
      <c r="H130" t="s">
        <v>919</v>
      </c>
      <c r="I130" t="s">
        <v>919</v>
      </c>
      <c r="J130" t="s">
        <v>919</v>
      </c>
      <c r="K130" t="s">
        <v>919</v>
      </c>
      <c r="L130" t="s">
        <v>919</v>
      </c>
      <c r="M130" t="s">
        <v>919</v>
      </c>
      <c r="N130" t="s">
        <v>919</v>
      </c>
      <c r="O130" t="s">
        <v>919</v>
      </c>
      <c r="P130" t="s">
        <v>919</v>
      </c>
      <c r="Q130" t="s">
        <v>919</v>
      </c>
      <c r="R130" t="s">
        <v>919</v>
      </c>
      <c r="S130" t="s">
        <v>919</v>
      </c>
      <c r="T130" t="s">
        <v>919</v>
      </c>
      <c r="U130" t="s">
        <v>919</v>
      </c>
      <c r="V130" t="s">
        <v>919</v>
      </c>
      <c r="W130" t="s">
        <v>919</v>
      </c>
      <c r="X130" t="s">
        <v>919</v>
      </c>
      <c r="Y130" t="s">
        <v>919</v>
      </c>
      <c r="Z130" t="s">
        <v>919</v>
      </c>
      <c r="AA130" t="s">
        <v>919</v>
      </c>
      <c r="AB130" t="s">
        <v>919</v>
      </c>
    </row>
    <row r="131" spans="1:28">
      <c r="A131">
        <v>130</v>
      </c>
      <c r="B131" t="s">
        <v>20</v>
      </c>
      <c r="C131" t="s">
        <v>19</v>
      </c>
      <c r="D131" s="183" t="s">
        <v>66</v>
      </c>
      <c r="E131" t="s">
        <v>919</v>
      </c>
      <c r="F131" t="s">
        <v>919</v>
      </c>
      <c r="G131" t="s">
        <v>919</v>
      </c>
      <c r="H131" t="s">
        <v>919</v>
      </c>
      <c r="I131" t="s">
        <v>919</v>
      </c>
      <c r="J131" t="s">
        <v>919</v>
      </c>
      <c r="K131" t="s">
        <v>919</v>
      </c>
      <c r="L131" t="s">
        <v>919</v>
      </c>
      <c r="M131" t="s">
        <v>919</v>
      </c>
      <c r="N131" t="s">
        <v>919</v>
      </c>
      <c r="O131" t="s">
        <v>919</v>
      </c>
      <c r="P131" t="s">
        <v>919</v>
      </c>
      <c r="Q131" t="s">
        <v>919</v>
      </c>
      <c r="R131" t="s">
        <v>919</v>
      </c>
      <c r="S131" t="s">
        <v>919</v>
      </c>
      <c r="T131" t="s">
        <v>919</v>
      </c>
      <c r="U131" t="s">
        <v>919</v>
      </c>
      <c r="V131" t="s">
        <v>919</v>
      </c>
      <c r="W131" t="s">
        <v>919</v>
      </c>
      <c r="X131" t="s">
        <v>919</v>
      </c>
      <c r="Y131" t="s">
        <v>919</v>
      </c>
      <c r="Z131" t="s">
        <v>919</v>
      </c>
      <c r="AA131" t="s">
        <v>919</v>
      </c>
      <c r="AB131" t="s">
        <v>919</v>
      </c>
    </row>
    <row r="132" spans="1:28">
      <c r="A132">
        <v>131</v>
      </c>
      <c r="B132" t="s">
        <v>20</v>
      </c>
      <c r="C132" t="s">
        <v>19</v>
      </c>
      <c r="D132" s="183" t="s">
        <v>1060</v>
      </c>
      <c r="E132" t="s">
        <v>919</v>
      </c>
      <c r="F132" t="s">
        <v>919</v>
      </c>
      <c r="G132" t="s">
        <v>919</v>
      </c>
      <c r="H132" t="s">
        <v>919</v>
      </c>
      <c r="I132" t="s">
        <v>919</v>
      </c>
      <c r="J132" t="s">
        <v>919</v>
      </c>
      <c r="K132" t="s">
        <v>919</v>
      </c>
      <c r="L132" t="s">
        <v>919</v>
      </c>
      <c r="M132" t="s">
        <v>919</v>
      </c>
      <c r="N132" t="s">
        <v>919</v>
      </c>
      <c r="O132" t="s">
        <v>919</v>
      </c>
      <c r="P132" t="s">
        <v>919</v>
      </c>
      <c r="Q132" t="s">
        <v>919</v>
      </c>
      <c r="R132" t="s">
        <v>919</v>
      </c>
      <c r="S132" t="s">
        <v>919</v>
      </c>
      <c r="T132" t="s">
        <v>919</v>
      </c>
      <c r="U132" t="s">
        <v>919</v>
      </c>
      <c r="V132" t="s">
        <v>919</v>
      </c>
      <c r="W132" t="s">
        <v>919</v>
      </c>
      <c r="X132" t="s">
        <v>919</v>
      </c>
      <c r="Y132" t="s">
        <v>919</v>
      </c>
      <c r="Z132" t="s">
        <v>919</v>
      </c>
      <c r="AA132" t="s">
        <v>919</v>
      </c>
      <c r="AB132" t="s">
        <v>919</v>
      </c>
    </row>
    <row r="133" spans="1:28">
      <c r="A133">
        <v>132</v>
      </c>
      <c r="B133" t="s">
        <v>20</v>
      </c>
      <c r="C133" t="s">
        <v>19</v>
      </c>
      <c r="D133" s="183" t="s">
        <v>1091</v>
      </c>
      <c r="E133" t="s">
        <v>919</v>
      </c>
      <c r="F133" t="s">
        <v>919</v>
      </c>
      <c r="G133" t="s">
        <v>919</v>
      </c>
      <c r="H133" t="s">
        <v>919</v>
      </c>
      <c r="I133" t="s">
        <v>919</v>
      </c>
      <c r="J133" t="s">
        <v>919</v>
      </c>
      <c r="K133" t="s">
        <v>919</v>
      </c>
      <c r="L133" t="s">
        <v>919</v>
      </c>
      <c r="M133" t="s">
        <v>919</v>
      </c>
      <c r="N133" t="s">
        <v>919</v>
      </c>
      <c r="O133" t="s">
        <v>919</v>
      </c>
      <c r="P133" t="s">
        <v>919</v>
      </c>
      <c r="Q133" t="s">
        <v>919</v>
      </c>
      <c r="R133" t="s">
        <v>919</v>
      </c>
      <c r="S133" t="s">
        <v>919</v>
      </c>
      <c r="T133" t="s">
        <v>919</v>
      </c>
      <c r="U133" t="s">
        <v>919</v>
      </c>
      <c r="V133" t="s">
        <v>919</v>
      </c>
      <c r="W133" t="s">
        <v>919</v>
      </c>
      <c r="X133" t="s">
        <v>919</v>
      </c>
      <c r="Y133" t="s">
        <v>919</v>
      </c>
      <c r="Z133" t="s">
        <v>919</v>
      </c>
      <c r="AA133" t="s">
        <v>919</v>
      </c>
      <c r="AB133" t="s">
        <v>919</v>
      </c>
    </row>
    <row r="134" spans="1:28">
      <c r="A134">
        <v>133</v>
      </c>
      <c r="B134" t="s">
        <v>20</v>
      </c>
      <c r="C134" t="s">
        <v>19</v>
      </c>
      <c r="D134" s="183" t="s">
        <v>1092</v>
      </c>
      <c r="E134" t="s">
        <v>919</v>
      </c>
      <c r="F134" t="s">
        <v>919</v>
      </c>
      <c r="G134" t="s">
        <v>919</v>
      </c>
      <c r="H134" t="s">
        <v>919</v>
      </c>
      <c r="I134" t="s">
        <v>919</v>
      </c>
      <c r="J134" t="s">
        <v>919</v>
      </c>
      <c r="K134" t="s">
        <v>919</v>
      </c>
      <c r="L134" t="s">
        <v>919</v>
      </c>
      <c r="M134" t="s">
        <v>919</v>
      </c>
      <c r="N134" t="s">
        <v>919</v>
      </c>
      <c r="O134" t="s">
        <v>919</v>
      </c>
      <c r="P134" t="s">
        <v>919</v>
      </c>
      <c r="Q134" t="s">
        <v>919</v>
      </c>
      <c r="R134" t="s">
        <v>919</v>
      </c>
      <c r="S134" t="s">
        <v>919</v>
      </c>
      <c r="T134" t="s">
        <v>919</v>
      </c>
      <c r="U134" t="s">
        <v>919</v>
      </c>
      <c r="V134" t="s">
        <v>919</v>
      </c>
      <c r="W134" t="s">
        <v>919</v>
      </c>
      <c r="X134" t="s">
        <v>919</v>
      </c>
      <c r="Y134" t="s">
        <v>919</v>
      </c>
      <c r="Z134" t="s">
        <v>919</v>
      </c>
      <c r="AA134" t="s">
        <v>919</v>
      </c>
      <c r="AB134" t="s">
        <v>919</v>
      </c>
    </row>
    <row r="135" spans="1:28">
      <c r="A135">
        <v>134</v>
      </c>
      <c r="B135" t="s">
        <v>20</v>
      </c>
      <c r="C135" t="s">
        <v>19</v>
      </c>
      <c r="D135" s="183" t="s">
        <v>67</v>
      </c>
      <c r="E135" t="s">
        <v>919</v>
      </c>
      <c r="F135" t="s">
        <v>919</v>
      </c>
      <c r="G135" t="s">
        <v>919</v>
      </c>
      <c r="H135" t="s">
        <v>919</v>
      </c>
      <c r="I135" t="s">
        <v>919</v>
      </c>
      <c r="J135" t="s">
        <v>919</v>
      </c>
      <c r="K135" t="s">
        <v>919</v>
      </c>
      <c r="L135" t="s">
        <v>919</v>
      </c>
      <c r="M135" t="s">
        <v>919</v>
      </c>
      <c r="N135" t="s">
        <v>919</v>
      </c>
      <c r="O135" t="s">
        <v>919</v>
      </c>
      <c r="P135" t="s">
        <v>919</v>
      </c>
      <c r="Q135" t="s">
        <v>919</v>
      </c>
      <c r="R135" t="s">
        <v>919</v>
      </c>
      <c r="S135" t="s">
        <v>919</v>
      </c>
      <c r="T135" t="s">
        <v>919</v>
      </c>
      <c r="U135" t="s">
        <v>919</v>
      </c>
      <c r="V135" t="s">
        <v>919</v>
      </c>
      <c r="W135" t="s">
        <v>919</v>
      </c>
      <c r="X135" t="s">
        <v>919</v>
      </c>
      <c r="Y135" t="s">
        <v>919</v>
      </c>
      <c r="Z135" t="s">
        <v>919</v>
      </c>
      <c r="AA135" t="s">
        <v>919</v>
      </c>
      <c r="AB135" t="s">
        <v>919</v>
      </c>
    </row>
    <row r="136" spans="1:28">
      <c r="A136">
        <v>135</v>
      </c>
      <c r="B136" t="s">
        <v>20</v>
      </c>
      <c r="C136" t="s">
        <v>19</v>
      </c>
      <c r="D136" s="183" t="s">
        <v>68</v>
      </c>
      <c r="E136" t="s">
        <v>919</v>
      </c>
      <c r="F136" t="s">
        <v>919</v>
      </c>
      <c r="G136" t="s">
        <v>919</v>
      </c>
      <c r="H136" t="s">
        <v>919</v>
      </c>
      <c r="I136" t="s">
        <v>919</v>
      </c>
      <c r="J136" t="s">
        <v>919</v>
      </c>
      <c r="K136" t="s">
        <v>919</v>
      </c>
      <c r="L136" t="s">
        <v>919</v>
      </c>
      <c r="M136" t="s">
        <v>919</v>
      </c>
      <c r="N136" t="s">
        <v>919</v>
      </c>
      <c r="O136" t="s">
        <v>919</v>
      </c>
      <c r="P136" t="s">
        <v>919</v>
      </c>
      <c r="Q136" t="s">
        <v>919</v>
      </c>
      <c r="R136" t="s">
        <v>919</v>
      </c>
      <c r="S136" t="s">
        <v>919</v>
      </c>
      <c r="T136" t="s">
        <v>919</v>
      </c>
      <c r="U136" t="s">
        <v>919</v>
      </c>
      <c r="V136" t="s">
        <v>919</v>
      </c>
      <c r="W136" t="s">
        <v>919</v>
      </c>
      <c r="X136" t="s">
        <v>919</v>
      </c>
      <c r="Y136" t="s">
        <v>919</v>
      </c>
      <c r="Z136" t="s">
        <v>919</v>
      </c>
      <c r="AA136" t="s">
        <v>919</v>
      </c>
      <c r="AB136" t="s">
        <v>919</v>
      </c>
    </row>
    <row r="137" spans="1:28">
      <c r="A137">
        <v>136</v>
      </c>
      <c r="B137" t="s">
        <v>20</v>
      </c>
      <c r="C137" t="s">
        <v>19</v>
      </c>
      <c r="D137" s="188" t="s">
        <v>1064</v>
      </c>
      <c r="E137" t="s">
        <v>919</v>
      </c>
      <c r="F137" t="s">
        <v>919</v>
      </c>
      <c r="G137" t="s">
        <v>919</v>
      </c>
      <c r="H137" t="s">
        <v>919</v>
      </c>
      <c r="I137" t="s">
        <v>919</v>
      </c>
      <c r="J137" t="s">
        <v>919</v>
      </c>
      <c r="K137" t="s">
        <v>919</v>
      </c>
      <c r="L137" t="s">
        <v>919</v>
      </c>
      <c r="M137" t="s">
        <v>919</v>
      </c>
      <c r="N137" t="s">
        <v>919</v>
      </c>
      <c r="O137" t="s">
        <v>919</v>
      </c>
      <c r="P137" t="s">
        <v>919</v>
      </c>
      <c r="Q137" t="s">
        <v>919</v>
      </c>
      <c r="R137" t="s">
        <v>919</v>
      </c>
      <c r="S137" t="s">
        <v>919</v>
      </c>
      <c r="T137" t="s">
        <v>919</v>
      </c>
      <c r="U137" t="s">
        <v>919</v>
      </c>
      <c r="V137" t="s">
        <v>919</v>
      </c>
      <c r="W137" t="s">
        <v>919</v>
      </c>
      <c r="X137" t="s">
        <v>919</v>
      </c>
      <c r="Y137" t="s">
        <v>919</v>
      </c>
      <c r="Z137" t="s">
        <v>919</v>
      </c>
      <c r="AA137" t="s">
        <v>919</v>
      </c>
      <c r="AB137" t="s">
        <v>919</v>
      </c>
    </row>
    <row r="138" spans="1:28">
      <c r="A138">
        <v>137</v>
      </c>
      <c r="B138" t="s">
        <v>20</v>
      </c>
      <c r="C138" t="s">
        <v>19</v>
      </c>
      <c r="D138" s="183" t="s">
        <v>233</v>
      </c>
      <c r="E138" t="s">
        <v>919</v>
      </c>
      <c r="F138" t="s">
        <v>919</v>
      </c>
      <c r="G138" t="s">
        <v>919</v>
      </c>
      <c r="H138" t="s">
        <v>919</v>
      </c>
      <c r="I138" t="s">
        <v>919</v>
      </c>
      <c r="J138" t="s">
        <v>919</v>
      </c>
      <c r="K138" t="s">
        <v>919</v>
      </c>
      <c r="L138" t="s">
        <v>919</v>
      </c>
      <c r="M138" t="s">
        <v>919</v>
      </c>
      <c r="N138" t="s">
        <v>919</v>
      </c>
      <c r="O138" t="s">
        <v>919</v>
      </c>
      <c r="P138" t="s">
        <v>919</v>
      </c>
      <c r="Q138" t="s">
        <v>919</v>
      </c>
      <c r="R138" t="s">
        <v>919</v>
      </c>
      <c r="S138" t="s">
        <v>919</v>
      </c>
      <c r="T138" t="s">
        <v>919</v>
      </c>
      <c r="U138" t="s">
        <v>919</v>
      </c>
      <c r="V138" t="s">
        <v>919</v>
      </c>
      <c r="W138" t="s">
        <v>919</v>
      </c>
      <c r="X138" t="s">
        <v>919</v>
      </c>
      <c r="Y138" t="s">
        <v>919</v>
      </c>
      <c r="Z138" t="s">
        <v>919</v>
      </c>
      <c r="AA138" t="s">
        <v>919</v>
      </c>
      <c r="AB138" t="s">
        <v>919</v>
      </c>
    </row>
    <row r="139" spans="1:28">
      <c r="A139">
        <v>138</v>
      </c>
      <c r="B139" t="s">
        <v>233</v>
      </c>
      <c r="C139" t="s">
        <v>233</v>
      </c>
      <c r="D139" s="183" t="s">
        <v>66</v>
      </c>
      <c r="E139" t="s">
        <v>919</v>
      </c>
      <c r="F139" t="s">
        <v>919</v>
      </c>
      <c r="G139" t="s">
        <v>919</v>
      </c>
      <c r="H139" t="s">
        <v>919</v>
      </c>
      <c r="I139" t="s">
        <v>919</v>
      </c>
      <c r="J139" t="s">
        <v>919</v>
      </c>
      <c r="K139" t="s">
        <v>919</v>
      </c>
      <c r="L139" t="s">
        <v>919</v>
      </c>
      <c r="M139" t="s">
        <v>919</v>
      </c>
      <c r="N139" t="s">
        <v>919</v>
      </c>
      <c r="O139" t="s">
        <v>919</v>
      </c>
      <c r="P139" t="s">
        <v>919</v>
      </c>
      <c r="Q139" t="s">
        <v>919</v>
      </c>
      <c r="R139" t="s">
        <v>919</v>
      </c>
      <c r="S139" t="s">
        <v>919</v>
      </c>
      <c r="T139" t="s">
        <v>919</v>
      </c>
      <c r="U139" t="s">
        <v>919</v>
      </c>
      <c r="V139" t="s">
        <v>919</v>
      </c>
      <c r="W139" t="s">
        <v>919</v>
      </c>
      <c r="X139" t="s">
        <v>919</v>
      </c>
      <c r="Y139" t="s">
        <v>919</v>
      </c>
      <c r="Z139" t="s">
        <v>919</v>
      </c>
      <c r="AA139" t="s">
        <v>919</v>
      </c>
      <c r="AB139" t="s">
        <v>919</v>
      </c>
    </row>
    <row r="140" spans="1:28">
      <c r="A140">
        <v>139</v>
      </c>
      <c r="B140" t="s">
        <v>233</v>
      </c>
      <c r="C140" t="s">
        <v>233</v>
      </c>
      <c r="D140" s="183" t="s">
        <v>1060</v>
      </c>
      <c r="E140" t="s">
        <v>919</v>
      </c>
      <c r="F140" t="s">
        <v>919</v>
      </c>
      <c r="G140" t="s">
        <v>919</v>
      </c>
      <c r="H140" t="s">
        <v>919</v>
      </c>
      <c r="I140" t="s">
        <v>919</v>
      </c>
      <c r="J140" t="s">
        <v>919</v>
      </c>
      <c r="K140" t="s">
        <v>919</v>
      </c>
      <c r="L140" t="s">
        <v>919</v>
      </c>
      <c r="M140" t="s">
        <v>919</v>
      </c>
      <c r="N140" t="s">
        <v>919</v>
      </c>
      <c r="O140" t="s">
        <v>919</v>
      </c>
      <c r="P140" t="s">
        <v>919</v>
      </c>
      <c r="Q140" t="s">
        <v>919</v>
      </c>
      <c r="R140" t="s">
        <v>919</v>
      </c>
      <c r="S140" t="s">
        <v>919</v>
      </c>
      <c r="T140" t="s">
        <v>919</v>
      </c>
      <c r="U140" t="s">
        <v>919</v>
      </c>
      <c r="V140" t="s">
        <v>919</v>
      </c>
      <c r="W140" t="s">
        <v>919</v>
      </c>
      <c r="X140" t="s">
        <v>919</v>
      </c>
      <c r="Y140" t="s">
        <v>919</v>
      </c>
      <c r="Z140" t="s">
        <v>919</v>
      </c>
      <c r="AA140" t="s">
        <v>919</v>
      </c>
      <c r="AB140" t="s">
        <v>919</v>
      </c>
    </row>
    <row r="141" spans="1:28">
      <c r="A141">
        <v>140</v>
      </c>
      <c r="B141" t="s">
        <v>233</v>
      </c>
      <c r="C141" t="s">
        <v>233</v>
      </c>
      <c r="D141" s="183" t="s">
        <v>1093</v>
      </c>
      <c r="E141" t="s">
        <v>919</v>
      </c>
      <c r="F141" t="s">
        <v>919</v>
      </c>
      <c r="G141" t="s">
        <v>919</v>
      </c>
      <c r="H141" t="s">
        <v>919</v>
      </c>
      <c r="I141" t="s">
        <v>919</v>
      </c>
      <c r="J141" t="s">
        <v>919</v>
      </c>
      <c r="K141" t="s">
        <v>919</v>
      </c>
      <c r="L141" t="s">
        <v>919</v>
      </c>
      <c r="M141" t="s">
        <v>919</v>
      </c>
      <c r="N141" t="s">
        <v>919</v>
      </c>
      <c r="O141" t="s">
        <v>919</v>
      </c>
      <c r="P141" t="s">
        <v>919</v>
      </c>
      <c r="Q141" t="s">
        <v>919</v>
      </c>
      <c r="R141" t="s">
        <v>919</v>
      </c>
      <c r="S141" t="s">
        <v>919</v>
      </c>
      <c r="T141" t="s">
        <v>919</v>
      </c>
      <c r="U141" t="s">
        <v>919</v>
      </c>
      <c r="V141" t="s">
        <v>919</v>
      </c>
      <c r="W141" t="s">
        <v>919</v>
      </c>
      <c r="X141" t="s">
        <v>919</v>
      </c>
      <c r="Y141" t="s">
        <v>919</v>
      </c>
      <c r="Z141" t="s">
        <v>919</v>
      </c>
      <c r="AA141" t="s">
        <v>919</v>
      </c>
      <c r="AB141" t="s">
        <v>919</v>
      </c>
    </row>
    <row r="142" spans="1:28">
      <c r="A142">
        <v>141</v>
      </c>
      <c r="B142" t="s">
        <v>233</v>
      </c>
      <c r="C142" t="s">
        <v>233</v>
      </c>
      <c r="D142" s="183" t="s">
        <v>1094</v>
      </c>
      <c r="E142" t="s">
        <v>919</v>
      </c>
      <c r="F142" t="s">
        <v>919</v>
      </c>
      <c r="G142" t="s">
        <v>919</v>
      </c>
      <c r="H142" t="s">
        <v>919</v>
      </c>
      <c r="I142" t="s">
        <v>919</v>
      </c>
      <c r="J142" t="s">
        <v>919</v>
      </c>
      <c r="K142" t="s">
        <v>919</v>
      </c>
      <c r="L142" t="s">
        <v>919</v>
      </c>
      <c r="M142" t="s">
        <v>919</v>
      </c>
      <c r="N142" t="s">
        <v>919</v>
      </c>
      <c r="O142" t="s">
        <v>919</v>
      </c>
      <c r="P142" t="s">
        <v>919</v>
      </c>
      <c r="Q142" t="s">
        <v>919</v>
      </c>
      <c r="R142" t="s">
        <v>919</v>
      </c>
      <c r="S142" t="s">
        <v>919</v>
      </c>
      <c r="T142" t="s">
        <v>919</v>
      </c>
      <c r="U142" t="s">
        <v>919</v>
      </c>
      <c r="V142" t="s">
        <v>919</v>
      </c>
      <c r="W142" t="s">
        <v>919</v>
      </c>
      <c r="X142" t="s">
        <v>919</v>
      </c>
      <c r="Y142" t="s">
        <v>919</v>
      </c>
      <c r="Z142" t="s">
        <v>919</v>
      </c>
      <c r="AA142" t="s">
        <v>919</v>
      </c>
      <c r="AB142" t="s">
        <v>919</v>
      </c>
    </row>
    <row r="143" spans="1:28">
      <c r="A143">
        <v>142</v>
      </c>
      <c r="B143" t="s">
        <v>233</v>
      </c>
      <c r="C143" t="s">
        <v>233</v>
      </c>
      <c r="D143" s="183" t="s">
        <v>67</v>
      </c>
      <c r="E143" t="s">
        <v>919</v>
      </c>
      <c r="F143" t="s">
        <v>919</v>
      </c>
      <c r="G143" t="s">
        <v>919</v>
      </c>
      <c r="H143" t="s">
        <v>919</v>
      </c>
      <c r="I143" t="s">
        <v>919</v>
      </c>
      <c r="J143" t="s">
        <v>919</v>
      </c>
      <c r="K143" t="s">
        <v>919</v>
      </c>
      <c r="L143" t="s">
        <v>919</v>
      </c>
      <c r="M143" t="s">
        <v>919</v>
      </c>
      <c r="N143" t="s">
        <v>919</v>
      </c>
      <c r="O143" t="s">
        <v>919</v>
      </c>
      <c r="P143" t="s">
        <v>919</v>
      </c>
      <c r="Q143" t="s">
        <v>919</v>
      </c>
      <c r="R143" t="s">
        <v>919</v>
      </c>
      <c r="S143" t="s">
        <v>919</v>
      </c>
      <c r="T143" t="s">
        <v>919</v>
      </c>
      <c r="U143" t="s">
        <v>919</v>
      </c>
      <c r="V143" t="s">
        <v>919</v>
      </c>
      <c r="W143" t="s">
        <v>919</v>
      </c>
      <c r="X143" t="s">
        <v>919</v>
      </c>
      <c r="Y143" t="s">
        <v>919</v>
      </c>
      <c r="Z143" t="s">
        <v>919</v>
      </c>
      <c r="AA143" t="s">
        <v>919</v>
      </c>
      <c r="AB143" t="s">
        <v>919</v>
      </c>
    </row>
    <row r="144" spans="1:28">
      <c r="A144">
        <v>143</v>
      </c>
      <c r="B144" t="s">
        <v>233</v>
      </c>
      <c r="C144" t="s">
        <v>233</v>
      </c>
      <c r="D144" s="183" t="s">
        <v>68</v>
      </c>
      <c r="E144" t="s">
        <v>919</v>
      </c>
      <c r="F144" t="s">
        <v>919</v>
      </c>
      <c r="G144" t="s">
        <v>919</v>
      </c>
      <c r="H144" t="s">
        <v>919</v>
      </c>
      <c r="I144" t="s">
        <v>919</v>
      </c>
      <c r="J144" t="s">
        <v>919</v>
      </c>
      <c r="K144" t="s">
        <v>919</v>
      </c>
      <c r="L144" t="s">
        <v>919</v>
      </c>
      <c r="M144" t="s">
        <v>919</v>
      </c>
      <c r="N144" t="s">
        <v>919</v>
      </c>
      <c r="O144" t="s">
        <v>919</v>
      </c>
      <c r="P144" t="s">
        <v>919</v>
      </c>
      <c r="Q144" t="s">
        <v>919</v>
      </c>
      <c r="R144" t="s">
        <v>919</v>
      </c>
      <c r="S144" t="s">
        <v>919</v>
      </c>
      <c r="T144" t="s">
        <v>919</v>
      </c>
      <c r="U144" t="s">
        <v>919</v>
      </c>
      <c r="V144" t="s">
        <v>919</v>
      </c>
      <c r="W144" t="s">
        <v>919</v>
      </c>
      <c r="X144" t="s">
        <v>919</v>
      </c>
      <c r="Y144" t="s">
        <v>919</v>
      </c>
      <c r="Z144" t="s">
        <v>919</v>
      </c>
      <c r="AA144" t="s">
        <v>919</v>
      </c>
      <c r="AB144" t="s">
        <v>919</v>
      </c>
    </row>
    <row r="145" spans="1:28">
      <c r="A145">
        <v>144</v>
      </c>
      <c r="B145" t="s">
        <v>233</v>
      </c>
      <c r="C145" t="s">
        <v>233</v>
      </c>
      <c r="D145" s="188" t="s">
        <v>1064</v>
      </c>
      <c r="E145" t="s">
        <v>919</v>
      </c>
      <c r="F145" t="s">
        <v>919</v>
      </c>
      <c r="G145" t="s">
        <v>919</v>
      </c>
      <c r="H145" t="s">
        <v>919</v>
      </c>
      <c r="I145" t="s">
        <v>919</v>
      </c>
      <c r="J145" t="s">
        <v>919</v>
      </c>
      <c r="K145" t="s">
        <v>919</v>
      </c>
      <c r="L145" t="s">
        <v>919</v>
      </c>
      <c r="M145" t="s">
        <v>919</v>
      </c>
      <c r="N145" t="s">
        <v>919</v>
      </c>
      <c r="O145" t="s">
        <v>919</v>
      </c>
      <c r="P145" t="s">
        <v>919</v>
      </c>
      <c r="Q145" t="s">
        <v>919</v>
      </c>
      <c r="R145" t="s">
        <v>919</v>
      </c>
      <c r="S145" t="s">
        <v>919</v>
      </c>
      <c r="T145" t="s">
        <v>919</v>
      </c>
      <c r="U145" t="s">
        <v>919</v>
      </c>
      <c r="V145" t="s">
        <v>919</v>
      </c>
      <c r="W145" t="s">
        <v>919</v>
      </c>
      <c r="X145" t="s">
        <v>919</v>
      </c>
      <c r="Y145" t="s">
        <v>919</v>
      </c>
      <c r="Z145" t="s">
        <v>919</v>
      </c>
      <c r="AA145" t="s">
        <v>919</v>
      </c>
      <c r="AB145" t="s">
        <v>919</v>
      </c>
    </row>
    <row r="146" spans="1:28">
      <c r="A146">
        <v>145</v>
      </c>
      <c r="B146" t="s">
        <v>233</v>
      </c>
      <c r="C146" t="s">
        <v>233</v>
      </c>
      <c r="D146" s="183" t="s">
        <v>233</v>
      </c>
      <c r="E146" t="s">
        <v>919</v>
      </c>
      <c r="F146" t="s">
        <v>919</v>
      </c>
      <c r="G146" t="s">
        <v>919</v>
      </c>
      <c r="H146" t="s">
        <v>919</v>
      </c>
      <c r="I146" t="s">
        <v>919</v>
      </c>
      <c r="J146" t="s">
        <v>919</v>
      </c>
      <c r="K146" t="s">
        <v>919</v>
      </c>
      <c r="L146" t="s">
        <v>919</v>
      </c>
      <c r="M146" t="s">
        <v>919</v>
      </c>
      <c r="N146" t="s">
        <v>919</v>
      </c>
      <c r="O146" t="s">
        <v>919</v>
      </c>
      <c r="P146" t="s">
        <v>919</v>
      </c>
      <c r="Q146" t="s">
        <v>919</v>
      </c>
      <c r="R146" t="s">
        <v>919</v>
      </c>
      <c r="S146" t="s">
        <v>919</v>
      </c>
      <c r="T146" t="s">
        <v>919</v>
      </c>
      <c r="U146" t="s">
        <v>919</v>
      </c>
      <c r="V146" t="s">
        <v>919</v>
      </c>
      <c r="W146" t="s">
        <v>919</v>
      </c>
      <c r="X146" t="s">
        <v>919</v>
      </c>
      <c r="Y146" t="s">
        <v>919</v>
      </c>
      <c r="Z146" t="s">
        <v>919</v>
      </c>
      <c r="AA146" t="s">
        <v>919</v>
      </c>
      <c r="AB146" t="s">
        <v>919</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1492B7-A762-4288-90FD-9F1628CCA7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239F85-3EE2-415A-9D62-791EE008B762}">
  <ds:schemaRefs>
    <ds:schemaRef ds:uri="http://purl.org/dc/elements/1.1/"/>
    <ds:schemaRef ds:uri="http://schemas.openxmlformats.org/package/2006/metadata/core-properties"/>
    <ds:schemaRef ds:uri="7ff1a7c9-d7df-4be8-bc28-0a0e94fbf901"/>
    <ds:schemaRef ds:uri="http://schemas.microsoft.com/office/2006/metadata/properties"/>
    <ds:schemaRef ds:uri="http://schemas.microsoft.com/office/infopath/2007/PartnerControls"/>
    <ds:schemaRef ds:uri="http://schemas.microsoft.com/office/2006/documentManagement/types"/>
    <ds:schemaRef ds:uri="http://purl.org/dc/dcmitype/"/>
    <ds:schemaRef ds:uri="http://www.w3.org/XML/1998/namespace"/>
    <ds:schemaRef ds:uri="http://purl.org/dc/terms/"/>
  </ds:schemaRefs>
</ds:datastoreItem>
</file>

<file path=customXml/itemProps3.xml><?xml version="1.0" encoding="utf-8"?>
<ds:datastoreItem xmlns:ds="http://schemas.openxmlformats.org/officeDocument/2006/customXml" ds:itemID="{C4B06CBA-128D-4361-9760-1F0BB6DCC1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Dashboard</vt:lpstr>
      <vt:lpstr>DashboardData1</vt:lpstr>
      <vt:lpstr>DashboardData2</vt:lpstr>
      <vt:lpstr>District Details</vt:lpstr>
      <vt:lpstr>DistrictData</vt:lpstr>
      <vt:lpstr>SF Details</vt:lpstr>
      <vt:lpstr>SFData</vt:lpstr>
      <vt:lpstr>ControlSheet</vt:lpstr>
      <vt:lpstr>SFDataPattern</vt:lpstr>
      <vt:lpstr>Insights - Indication Driven</vt:lpstr>
      <vt:lpstr>Instructions_Business Rules</vt:lpstr>
      <vt:lpstr>IndicationsData</vt:lpstr>
      <vt:lpstr>IndicationsDataPattern</vt:lpstr>
      <vt:lpstr>Dashboard!Print_Area</vt:lpstr>
      <vt:lpstr>'Insights - Indication Driven'!Print_Area</vt:lpstr>
      <vt:lpstr>SF_detail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2017-03-15T08:10:36Z</cp:lastPrinted>
  <dcterms:created xsi:type="dcterms:W3CDTF">2016-12-05T12:39:03Z</dcterms:created>
  <dcterms:modified xsi:type="dcterms:W3CDTF">2018-07-27T03:28:08Z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